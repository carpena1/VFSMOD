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pena/UFL Dropbox/Rafael Munoz-Carpena/Work/Claire_France/vfsm4.6.0.1/inputs/"/>
    </mc:Choice>
  </mc:AlternateContent>
  <xr:revisionPtr revIDLastSave="0" documentId="8_{D07F96A7-2D41-4B48-8C3F-4DE16F033779}" xr6:coauthVersionLast="47" xr6:coauthVersionMax="47" xr10:uidLastSave="{00000000-0000-0000-0000-000000000000}"/>
  <bookViews>
    <workbookView xWindow="11980" yWindow="5900" windowWidth="29120" windowHeight="22140" xr2:uid="{D4DAFE91-39A2-FC4B-B94F-F3A7801E1A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1" i="1" l="1"/>
  <c r="L101" i="1" s="1"/>
  <c r="K102" i="1"/>
  <c r="L102" i="1"/>
  <c r="K103" i="1"/>
  <c r="L103" i="1" s="1"/>
  <c r="K104" i="1"/>
  <c r="L104" i="1"/>
  <c r="K105" i="1"/>
  <c r="L105" i="1" s="1"/>
  <c r="K106" i="1"/>
  <c r="L106" i="1"/>
  <c r="K107" i="1"/>
  <c r="L107" i="1"/>
  <c r="M107" i="1" s="1"/>
  <c r="K108" i="1"/>
  <c r="L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 s="1"/>
  <c r="K115" i="1"/>
  <c r="L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1" i="1" s="1"/>
  <c r="M120" i="1"/>
  <c r="K121" i="1"/>
  <c r="L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 s="1"/>
  <c r="K128" i="1"/>
  <c r="L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 s="1"/>
  <c r="K135" i="1"/>
  <c r="L135" i="1"/>
  <c r="K136" i="1"/>
  <c r="L136" i="1"/>
  <c r="M136" i="1"/>
  <c r="K137" i="1"/>
  <c r="L137" i="1"/>
  <c r="M137" i="1"/>
  <c r="K138" i="1"/>
  <c r="L138" i="1"/>
  <c r="M138" i="1"/>
  <c r="K139" i="1"/>
  <c r="L139" i="1" s="1"/>
  <c r="M139" i="1" s="1"/>
  <c r="K140" i="1"/>
  <c r="L140" i="1" s="1"/>
  <c r="K141" i="1"/>
  <c r="L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 s="1"/>
  <c r="K148" i="1"/>
  <c r="L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 s="1"/>
  <c r="K155" i="1"/>
  <c r="L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1" i="1" s="1"/>
  <c r="M160" i="1"/>
  <c r="K161" i="1"/>
  <c r="L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 s="1"/>
  <c r="K168" i="1"/>
  <c r="L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 s="1"/>
  <c r="K175" i="1"/>
  <c r="L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1" i="1" s="1"/>
  <c r="M180" i="1"/>
  <c r="K181" i="1"/>
  <c r="L181" i="1"/>
  <c r="K182" i="1"/>
  <c r="L182" i="1"/>
  <c r="M182" i="1"/>
  <c r="K183" i="1"/>
  <c r="L183" i="1"/>
  <c r="M183" i="1"/>
  <c r="K184" i="1"/>
  <c r="L184" i="1"/>
  <c r="M184" i="1"/>
  <c r="K185" i="1"/>
  <c r="L185" i="1" s="1"/>
  <c r="K186" i="1"/>
  <c r="L186" i="1"/>
  <c r="K187" i="1"/>
  <c r="L187" i="1"/>
  <c r="M187" i="1" s="1"/>
  <c r="K188" i="1"/>
  <c r="L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 s="1"/>
  <c r="K195" i="1"/>
  <c r="L195" i="1"/>
  <c r="K196" i="1"/>
  <c r="L196" i="1"/>
  <c r="M196" i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M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M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M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M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M9" i="1" s="1"/>
  <c r="K8" i="1"/>
  <c r="L8" i="1" s="1"/>
  <c r="K7" i="1"/>
  <c r="L7" i="1" s="1"/>
  <c r="K6" i="1"/>
  <c r="L6" i="1" s="1"/>
  <c r="K5" i="1"/>
  <c r="L5" i="1" s="1"/>
  <c r="K4" i="1"/>
  <c r="L4" i="1" s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93" i="1"/>
  <c r="H94" i="1"/>
  <c r="H95" i="1"/>
  <c r="H96" i="1"/>
  <c r="H97" i="1"/>
  <c r="H98" i="1"/>
  <c r="H99" i="1"/>
  <c r="H100" i="1"/>
  <c r="G5" i="1"/>
  <c r="G6" i="1"/>
  <c r="H6" i="1" s="1"/>
  <c r="G7" i="1"/>
  <c r="H7" i="1" s="1"/>
  <c r="G8" i="1"/>
  <c r="H8" i="1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H26" i="1" s="1"/>
  <c r="G27" i="1"/>
  <c r="H27" i="1" s="1"/>
  <c r="G28" i="1"/>
  <c r="H28" i="1" s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H46" i="1" s="1"/>
  <c r="G47" i="1"/>
  <c r="H47" i="1" s="1"/>
  <c r="G48" i="1"/>
  <c r="H48" i="1" s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H66" i="1" s="1"/>
  <c r="G67" i="1"/>
  <c r="H67" i="1" s="1"/>
  <c r="G68" i="1"/>
  <c r="H68" i="1" s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H86" i="1" s="1"/>
  <c r="G87" i="1"/>
  <c r="H87" i="1" s="1"/>
  <c r="G88" i="1"/>
  <c r="H88" i="1" s="1"/>
  <c r="G92" i="1"/>
  <c r="G93" i="1"/>
  <c r="G94" i="1"/>
  <c r="G95" i="1"/>
  <c r="G96" i="1"/>
  <c r="G97" i="1"/>
  <c r="G98" i="1"/>
  <c r="G99" i="1"/>
  <c r="G100" i="1"/>
  <c r="F5" i="1"/>
  <c r="F6" i="1"/>
  <c r="F7" i="1"/>
  <c r="F8" i="1"/>
  <c r="F9" i="1"/>
  <c r="G9" i="1" s="1"/>
  <c r="H9" i="1" s="1"/>
  <c r="F10" i="1"/>
  <c r="G10" i="1" s="1"/>
  <c r="H10" i="1" s="1"/>
  <c r="F11" i="1"/>
  <c r="G11" i="1" s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G29" i="1" s="1"/>
  <c r="H29" i="1" s="1"/>
  <c r="F30" i="1"/>
  <c r="G30" i="1" s="1"/>
  <c r="H30" i="1" s="1"/>
  <c r="F31" i="1"/>
  <c r="G31" i="1" s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G49" i="1" s="1"/>
  <c r="H49" i="1" s="1"/>
  <c r="F50" i="1"/>
  <c r="G50" i="1" s="1"/>
  <c r="H50" i="1" s="1"/>
  <c r="F51" i="1"/>
  <c r="G51" i="1" s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G69" i="1" s="1"/>
  <c r="H69" i="1" s="1"/>
  <c r="F70" i="1"/>
  <c r="G70" i="1" s="1"/>
  <c r="H70" i="1" s="1"/>
  <c r="F71" i="1"/>
  <c r="G71" i="1" s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G89" i="1" s="1"/>
  <c r="H89" i="1" s="1"/>
  <c r="F90" i="1"/>
  <c r="G90" i="1" s="1"/>
  <c r="H90" i="1" s="1"/>
  <c r="F91" i="1"/>
  <c r="G91" i="1" s="1"/>
  <c r="F92" i="1"/>
  <c r="F93" i="1"/>
  <c r="F94" i="1"/>
  <c r="F95" i="1"/>
  <c r="F96" i="1"/>
  <c r="F97" i="1"/>
  <c r="F98" i="1"/>
  <c r="F99" i="1"/>
  <c r="F100" i="1"/>
  <c r="F4" i="1"/>
  <c r="G4" i="1" s="1"/>
  <c r="M195" i="1" l="1"/>
  <c r="M194" i="1"/>
  <c r="M185" i="1"/>
  <c r="M186" i="1"/>
  <c r="M155" i="1"/>
  <c r="M154" i="1"/>
  <c r="M134" i="1"/>
  <c r="M135" i="1"/>
  <c r="M141" i="1"/>
  <c r="M140" i="1"/>
  <c r="M106" i="1"/>
  <c r="M105" i="1"/>
  <c r="M114" i="1"/>
  <c r="M115" i="1"/>
  <c r="M174" i="1"/>
  <c r="M175" i="1"/>
  <c r="M103" i="1"/>
  <c r="M104" i="1"/>
  <c r="M101" i="1"/>
  <c r="M102" i="1"/>
  <c r="M188" i="1"/>
  <c r="M148" i="1"/>
  <c r="M128" i="1"/>
  <c r="M168" i="1"/>
  <c r="M108" i="1"/>
  <c r="M70" i="1"/>
  <c r="M15" i="1"/>
  <c r="M48" i="1"/>
  <c r="M68" i="1"/>
  <c r="M88" i="1"/>
  <c r="M89" i="1"/>
  <c r="M35" i="1"/>
  <c r="M55" i="1"/>
  <c r="M75" i="1"/>
  <c r="M95" i="1"/>
  <c r="M26" i="1"/>
  <c r="M45" i="1"/>
  <c r="M63" i="1"/>
  <c r="M81" i="1"/>
  <c r="M99" i="1"/>
  <c r="M8" i="1"/>
  <c r="M30" i="1"/>
  <c r="M13" i="1"/>
  <c r="M66" i="1"/>
  <c r="M67" i="1"/>
  <c r="M49" i="1"/>
  <c r="M69" i="1"/>
  <c r="M34" i="1"/>
  <c r="M29" i="1"/>
  <c r="M86" i="1"/>
  <c r="M87" i="1"/>
  <c r="M32" i="1"/>
  <c r="M90" i="1"/>
  <c r="M54" i="1"/>
  <c r="M93" i="1"/>
  <c r="M57" i="1"/>
  <c r="M58" i="1"/>
  <c r="M77" i="1"/>
  <c r="M79" i="1"/>
  <c r="M84" i="1"/>
  <c r="M12" i="1"/>
  <c r="M72" i="1"/>
  <c r="M73" i="1"/>
  <c r="M18" i="1"/>
  <c r="M92" i="1"/>
  <c r="M38" i="1"/>
  <c r="M20" i="1"/>
  <c r="M21" i="1"/>
  <c r="M94" i="1"/>
  <c r="M59" i="1"/>
  <c r="M5" i="1"/>
  <c r="M23" i="1"/>
  <c r="M60" i="1"/>
  <c r="M6" i="1"/>
  <c r="M7" i="1"/>
  <c r="M43" i="1"/>
  <c r="M97" i="1"/>
  <c r="M25" i="1"/>
  <c r="M44" i="1"/>
  <c r="M62" i="1"/>
  <c r="M80" i="1"/>
  <c r="M98" i="1"/>
  <c r="M10" i="1"/>
  <c r="M11" i="1"/>
  <c r="M51" i="1"/>
  <c r="M16" i="1"/>
  <c r="M17" i="1"/>
  <c r="M37" i="1"/>
  <c r="M74" i="1"/>
  <c r="M39" i="1"/>
  <c r="M40" i="1"/>
  <c r="M41" i="1"/>
  <c r="M96" i="1"/>
  <c r="M85" i="1"/>
  <c r="M31" i="1"/>
  <c r="M50" i="1"/>
  <c r="M33" i="1"/>
  <c r="M14" i="1"/>
  <c r="M52" i="1"/>
  <c r="M71" i="1"/>
  <c r="M36" i="1"/>
  <c r="M91" i="1"/>
  <c r="M19" i="1"/>
  <c r="M56" i="1"/>
  <c r="M76" i="1"/>
  <c r="M22" i="1"/>
  <c r="M42" i="1"/>
  <c r="M78" i="1"/>
  <c r="M24" i="1"/>
  <c r="M61" i="1"/>
  <c r="M27" i="1"/>
  <c r="M46" i="1"/>
  <c r="M47" i="1"/>
  <c r="M64" i="1"/>
  <c r="M82" i="1"/>
  <c r="M100" i="1"/>
  <c r="H91" i="1"/>
  <c r="H92" i="1"/>
  <c r="H31" i="1"/>
  <c r="H32" i="1"/>
  <c r="H71" i="1"/>
  <c r="H72" i="1"/>
  <c r="H51" i="1"/>
  <c r="H52" i="1"/>
  <c r="H11" i="1"/>
  <c r="H12" i="1"/>
  <c r="H5" i="1"/>
</calcChain>
</file>

<file path=xl/sharedStrings.xml><?xml version="1.0" encoding="utf-8"?>
<sst xmlns="http://schemas.openxmlformats.org/spreadsheetml/2006/main" count="13" uniqueCount="7">
  <si>
    <t>P/P24</t>
  </si>
  <si>
    <t>t (h)</t>
  </si>
  <si>
    <t>P24=</t>
  </si>
  <si>
    <t>mm</t>
  </si>
  <si>
    <t>P</t>
  </si>
  <si>
    <t>i(mm/h)</t>
  </si>
  <si>
    <t>Muñoz-Carpena, R. and J.E. Parsons. 2004. A Design Procedure for Vegetative Filter Strips Using VFSMOD-W[332KB]. Trans. of ASAE 47(6):1933-1941. doi: 10.13031/2013.17806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</si>
</sst>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Sheet1!$M$4:$M$196</c:f>
              <c:numCache>
                <c:formatCode>General</c:formatCode>
                <c:ptCount val="193"/>
                <c:pt idx="1">
                  <c:v>0.210095298741102</c:v>
                </c:pt>
                <c:pt idx="2">
                  <c:v>0.21176891115716856</c:v>
                </c:pt>
                <c:pt idx="3">
                  <c:v>0.21347396433951893</c:v>
                </c:pt>
                <c:pt idx="4">
                  <c:v>0.21521139649534504</c:v>
                </c:pt>
                <c:pt idx="5">
                  <c:v>0.21698218442637973</c:v>
                </c:pt>
                <c:pt idx="6">
                  <c:v>0.21878734556223023</c:v>
                </c:pt>
                <c:pt idx="7">
                  <c:v>0.22062794012489562</c:v>
                </c:pt>
                <c:pt idx="8">
                  <c:v>0.22250507343388293</c:v>
                </c:pt>
                <c:pt idx="9">
                  <c:v>0.22441989836427645</c:v>
                </c:pt>
                <c:pt idx="10">
                  <c:v>0.22637361796814304</c:v>
                </c:pt>
                <c:pt idx="11">
                  <c:v>0.22836748827317344</c:v>
                </c:pt>
                <c:pt idx="12">
                  <c:v>0.23040282127242406</c:v>
                </c:pt>
                <c:pt idx="13">
                  <c:v>0.23248098812098661</c:v>
                </c:pt>
                <c:pt idx="14">
                  <c:v>0.23460342255607891</c:v>
                </c:pt>
                <c:pt idx="15">
                  <c:v>0.23677162455955525</c:v>
                </c:pt>
                <c:pt idx="16">
                  <c:v>0.23898716428308653</c:v>
                </c:pt>
                <c:pt idx="17">
                  <c:v>0.24125168625858784</c:v>
                </c:pt>
                <c:pt idx="18">
                  <c:v>0.24356691391783869</c:v>
                </c:pt>
                <c:pt idx="19">
                  <c:v>0.2459346544496821</c:v>
                </c:pt>
                <c:pt idx="20">
                  <c:v>0.24835680402315319</c:v>
                </c:pt>
                <c:pt idx="21">
                  <c:v>0.25083535341043905</c:v>
                </c:pt>
                <c:pt idx="22">
                  <c:v>0.25337239404603196</c:v>
                </c:pt>
                <c:pt idx="23">
                  <c:v>0.25597012456135992</c:v>
                </c:pt>
                <c:pt idx="24">
                  <c:v>0.25863085784079587</c:v>
                </c:pt>
                <c:pt idx="25">
                  <c:v>0.26135702864722887</c:v>
                </c:pt>
                <c:pt idx="26">
                  <c:v>0.26415120187271768</c:v>
                </c:pt>
                <c:pt idx="27">
                  <c:v>0.26701608147482681</c:v>
                </c:pt>
                <c:pt idx="28">
                  <c:v>0.26995452016700838</c:v>
                </c:pt>
                <c:pt idx="29">
                  <c:v>0.2729695299381607</c:v>
                </c:pt>
                <c:pt idx="30">
                  <c:v>0.27606429348645101</c:v>
                </c:pt>
                <c:pt idx="31">
                  <c:v>0.27924217666189577</c:v>
                </c:pt>
                <c:pt idx="32">
                  <c:v>0.28250674202387138</c:v>
                </c:pt>
                <c:pt idx="33">
                  <c:v>0.28586176363242011</c:v>
                </c:pt>
                <c:pt idx="34">
                  <c:v>0.28931124320769719</c:v>
                </c:pt>
                <c:pt idx="35">
                  <c:v>0.29285942780838958</c:v>
                </c:pt>
                <c:pt idx="36">
                  <c:v>0.29651082919889049</c:v>
                </c:pt>
                <c:pt idx="37">
                  <c:v>0.30027024509915456</c:v>
                </c:pt>
                <c:pt idx="38">
                  <c:v>0.30414278253423355</c:v>
                </c:pt>
                <c:pt idx="39">
                  <c:v>0.308133883532129</c:v>
                </c:pt>
                <c:pt idx="40">
                  <c:v>0.31224935345231408</c:v>
                </c:pt>
                <c:pt idx="41">
                  <c:v>0.316495392265983</c:v>
                </c:pt>
                <c:pt idx="42">
                  <c:v>0.32087862915624932</c:v>
                </c:pt>
                <c:pt idx="43">
                  <c:v>0.32540616085992013</c:v>
                </c:pt>
                <c:pt idx="44">
                  <c:v>0.33008559423393535</c:v>
                </c:pt>
                <c:pt idx="45">
                  <c:v>0.33492509360462108</c:v>
                </c:pt>
                <c:pt idx="46">
                  <c:v>0.33993343354253192</c:v>
                </c:pt>
                <c:pt idx="47">
                  <c:v>0.34512005780747756</c:v>
                </c:pt>
                <c:pt idx="48">
                  <c:v>0.35049514532811799</c:v>
                </c:pt>
                <c:pt idx="49">
                  <c:v>0.35606968422300156</c:v>
                </c:pt>
                <c:pt idx="50">
                  <c:v>0.36185555503705835</c:v>
                </c:pt>
                <c:pt idx="51">
                  <c:v>0.36786562457144178</c:v>
                </c:pt>
                <c:pt idx="52">
                  <c:v>0.37411385192403834</c:v>
                </c:pt>
                <c:pt idx="53">
                  <c:v>0.38061540864967824</c:v>
                </c:pt>
                <c:pt idx="54">
                  <c:v>0.387386815298294</c:v>
                </c:pt>
                <c:pt idx="55">
                  <c:v>0.39444609701602573</c:v>
                </c:pt>
                <c:pt idx="56">
                  <c:v>0.40181296140970879</c:v>
                </c:pt>
                <c:pt idx="57">
                  <c:v>0.40950900251010225</c:v>
                </c:pt>
                <c:pt idx="58">
                  <c:v>0.41755793544557562</c:v>
                </c:pt>
                <c:pt idx="59">
                  <c:v>0.42598586740023592</c:v>
                </c:pt>
                <c:pt idx="60">
                  <c:v>0.4348216116227519</c:v>
                </c:pt>
                <c:pt idx="61">
                  <c:v>0.44409705274227562</c:v>
                </c:pt>
                <c:pt idx="62">
                  <c:v>0.45384757351889959</c:v>
                </c:pt>
                <c:pt idx="63">
                  <c:v>0.46411255551950958</c:v>
                </c:pt>
                <c:pt idx="64">
                  <c:v>0.47493596921547265</c:v>
                </c:pt>
                <c:pt idx="65">
                  <c:v>0.48636707284857295</c:v>
                </c:pt>
                <c:pt idx="66">
                  <c:v>0.4984612443733667</c:v>
                </c:pt>
                <c:pt idx="67">
                  <c:v>0.51128097723422528</c:v>
                </c:pt>
                <c:pt idx="68">
                  <c:v>0.52489707918641315</c:v>
                </c:pt>
                <c:pt idx="69">
                  <c:v>0.5393901245354229</c:v>
                </c:pt>
                <c:pt idx="70">
                  <c:v>0.55485222506256804</c:v>
                </c:pt>
                <c:pt idx="71">
                  <c:v>0.57138920496518253</c:v>
                </c:pt>
                <c:pt idx="72">
                  <c:v>0.58912329244462924</c:v>
                </c:pt>
                <c:pt idx="73">
                  <c:v>0.60819647816947509</c:v>
                </c:pt>
                <c:pt idx="74">
                  <c:v>0.62877474323390459</c:v>
                </c:pt>
                <c:pt idx="75">
                  <c:v>0.65105343321729947</c:v>
                </c:pt>
                <c:pt idx="76">
                  <c:v>0.67526416093620867</c:v>
                </c:pt>
                <c:pt idx="77">
                  <c:v>0.70168377467780374</c:v>
                </c:pt>
                <c:pt idx="78">
                  <c:v>0.73064615688404189</c:v>
                </c:pt>
                <c:pt idx="79">
                  <c:v>0.76255796224666028</c:v>
                </c:pt>
                <c:pt idx="80">
                  <c:v>0.79791993346660206</c:v>
                </c:pt>
                <c:pt idx="81">
                  <c:v>0.837356265991275</c:v>
                </c:pt>
                <c:pt idx="82">
                  <c:v>0.88165583763789357</c:v>
                </c:pt>
                <c:pt idx="83">
                  <c:v>0.93183135131469186</c:v>
                </c:pt>
                <c:pt idx="84">
                  <c:v>0.98920626490868102</c:v>
                </c:pt>
                <c:pt idx="85">
                  <c:v>1.0555461809120033</c:v>
                </c:pt>
                <c:pt idx="86">
                  <c:v>1.1332639615240225</c:v>
                </c:pt>
                <c:pt idx="87">
                  <c:v>1.2257523143070017</c:v>
                </c:pt>
                <c:pt idx="88">
                  <c:v>1.3379479561659409</c:v>
                </c:pt>
                <c:pt idx="89">
                  <c:v>1.4773423539195178</c:v>
                </c:pt>
                <c:pt idx="90">
                  <c:v>1.65591929164394</c:v>
                </c:pt>
                <c:pt idx="91">
                  <c:v>1.8942034104232803</c:v>
                </c:pt>
                <c:pt idx="92">
                  <c:v>2.2307413392334752</c:v>
                </c:pt>
                <c:pt idx="93">
                  <c:v>2.7481412788922839</c:v>
                </c:pt>
                <c:pt idx="94">
                  <c:v>3.664266045229823</c:v>
                </c:pt>
                <c:pt idx="95">
                  <c:v>5.8277386378496061</c:v>
                </c:pt>
                <c:pt idx="96">
                  <c:v>22.882540775306595</c:v>
                </c:pt>
                <c:pt idx="97">
                  <c:v>22.882540775306595</c:v>
                </c:pt>
                <c:pt idx="98">
                  <c:v>5.8277386378496061</c:v>
                </c:pt>
                <c:pt idx="99">
                  <c:v>3.664266045229823</c:v>
                </c:pt>
                <c:pt idx="100">
                  <c:v>2.748141278892291</c:v>
                </c:pt>
                <c:pt idx="101">
                  <c:v>2.2307413392334752</c:v>
                </c:pt>
                <c:pt idx="102">
                  <c:v>1.8942034104232732</c:v>
                </c:pt>
                <c:pt idx="103">
                  <c:v>1.65591929164394</c:v>
                </c:pt>
                <c:pt idx="104">
                  <c:v>1.4773423539195107</c:v>
                </c:pt>
                <c:pt idx="105">
                  <c:v>1.337947956165948</c:v>
                </c:pt>
                <c:pt idx="106">
                  <c:v>1.2257523143070017</c:v>
                </c:pt>
                <c:pt idx="107">
                  <c:v>1.1332639615240225</c:v>
                </c:pt>
                <c:pt idx="108">
                  <c:v>1.0555461809120033</c:v>
                </c:pt>
                <c:pt idx="109">
                  <c:v>0.98920626490867392</c:v>
                </c:pt>
                <c:pt idx="110">
                  <c:v>0.93183135131468475</c:v>
                </c:pt>
                <c:pt idx="111">
                  <c:v>0.88165583763790778</c:v>
                </c:pt>
                <c:pt idx="112">
                  <c:v>0.837356265991275</c:v>
                </c:pt>
                <c:pt idx="113">
                  <c:v>0.79791993346660206</c:v>
                </c:pt>
                <c:pt idx="114">
                  <c:v>0.76255796224666028</c:v>
                </c:pt>
                <c:pt idx="115">
                  <c:v>0.7306461568840632</c:v>
                </c:pt>
                <c:pt idx="116">
                  <c:v>0.70168377467780374</c:v>
                </c:pt>
                <c:pt idx="117">
                  <c:v>0.67526416093619446</c:v>
                </c:pt>
                <c:pt idx="118">
                  <c:v>0.65105343321729947</c:v>
                </c:pt>
                <c:pt idx="119">
                  <c:v>0.62877474323389038</c:v>
                </c:pt>
                <c:pt idx="120">
                  <c:v>0.60819647816947509</c:v>
                </c:pt>
                <c:pt idx="121">
                  <c:v>0.5891232924446399</c:v>
                </c:pt>
                <c:pt idx="122">
                  <c:v>0.57138920496518608</c:v>
                </c:pt>
                <c:pt idx="123">
                  <c:v>0.55485222506254672</c:v>
                </c:pt>
                <c:pt idx="124">
                  <c:v>0.53939012453543</c:v>
                </c:pt>
                <c:pt idx="125">
                  <c:v>0.5248970791864167</c:v>
                </c:pt>
                <c:pt idx="126">
                  <c:v>0.51128097723423593</c:v>
                </c:pt>
                <c:pt idx="127">
                  <c:v>0.4984612443733738</c:v>
                </c:pt>
                <c:pt idx="128">
                  <c:v>0.48636707284856584</c:v>
                </c:pt>
                <c:pt idx="129">
                  <c:v>0.47493596921546555</c:v>
                </c:pt>
                <c:pt idx="130">
                  <c:v>0.46411255551950603</c:v>
                </c:pt>
                <c:pt idx="131">
                  <c:v>0.4538475735189138</c:v>
                </c:pt>
                <c:pt idx="132">
                  <c:v>0.44409705274227917</c:v>
                </c:pt>
                <c:pt idx="133">
                  <c:v>0.43482161162273769</c:v>
                </c:pt>
                <c:pt idx="134">
                  <c:v>0.4259858674002146</c:v>
                </c:pt>
                <c:pt idx="135">
                  <c:v>0.41755793544558628</c:v>
                </c:pt>
                <c:pt idx="136">
                  <c:v>0.4095090025101058</c:v>
                </c:pt>
                <c:pt idx="137">
                  <c:v>0.40181296140971767</c:v>
                </c:pt>
                <c:pt idx="138">
                  <c:v>0.39444609701601507</c:v>
                </c:pt>
                <c:pt idx="139">
                  <c:v>0.38738681529829933</c:v>
                </c:pt>
                <c:pt idx="140">
                  <c:v>0.38061540864967469</c:v>
                </c:pt>
                <c:pt idx="141">
                  <c:v>0.37411385192405078</c:v>
                </c:pt>
                <c:pt idx="142">
                  <c:v>0.36786562457143646</c:v>
                </c:pt>
                <c:pt idx="143">
                  <c:v>0.36185555503706723</c:v>
                </c:pt>
                <c:pt idx="144">
                  <c:v>0.35606968422300156</c:v>
                </c:pt>
                <c:pt idx="145">
                  <c:v>0.35049514532812509</c:v>
                </c:pt>
                <c:pt idx="146">
                  <c:v>0.34512005780746335</c:v>
                </c:pt>
                <c:pt idx="147">
                  <c:v>0.3399334335425408</c:v>
                </c:pt>
                <c:pt idx="148">
                  <c:v>0.33492509360462464</c:v>
                </c:pt>
                <c:pt idx="149">
                  <c:v>0.33008559423393535</c:v>
                </c:pt>
                <c:pt idx="150">
                  <c:v>0.32540616085989882</c:v>
                </c:pt>
                <c:pt idx="151">
                  <c:v>0.32087862915625465</c:v>
                </c:pt>
                <c:pt idx="152">
                  <c:v>0.31649539226597767</c:v>
                </c:pt>
                <c:pt idx="153">
                  <c:v>0.31224935345233007</c:v>
                </c:pt>
                <c:pt idx="154">
                  <c:v>0.3081338835321219</c:v>
                </c:pt>
                <c:pt idx="155">
                  <c:v>0.30414278253422822</c:v>
                </c:pt>
                <c:pt idx="156">
                  <c:v>0.30027024509914213</c:v>
                </c:pt>
                <c:pt idx="157">
                  <c:v>0.29651082919892247</c:v>
                </c:pt>
                <c:pt idx="158">
                  <c:v>0.29285942780836649</c:v>
                </c:pt>
                <c:pt idx="159">
                  <c:v>0.28931124320772028</c:v>
                </c:pt>
                <c:pt idx="160">
                  <c:v>0.28586176363239701</c:v>
                </c:pt>
                <c:pt idx="161">
                  <c:v>0.2825067420238554</c:v>
                </c:pt>
                <c:pt idx="162">
                  <c:v>0.27924217666190998</c:v>
                </c:pt>
                <c:pt idx="163">
                  <c:v>0.27606429348645634</c:v>
                </c:pt>
                <c:pt idx="164">
                  <c:v>0.27296952993816603</c:v>
                </c:pt>
                <c:pt idx="165">
                  <c:v>0.26995452016700483</c:v>
                </c:pt>
                <c:pt idx="166">
                  <c:v>0.26701608147482148</c:v>
                </c:pt>
                <c:pt idx="167">
                  <c:v>0.26415120187272123</c:v>
                </c:pt>
                <c:pt idx="168">
                  <c:v>0.26135702864723953</c:v>
                </c:pt>
                <c:pt idx="169">
                  <c:v>0.25863085784078521</c:v>
                </c:pt>
                <c:pt idx="170">
                  <c:v>0.25597012456137236</c:v>
                </c:pt>
                <c:pt idx="171">
                  <c:v>0.25337239404603906</c:v>
                </c:pt>
                <c:pt idx="172">
                  <c:v>0.25083535341042307</c:v>
                </c:pt>
                <c:pt idx="173">
                  <c:v>0.24835680402316029</c:v>
                </c:pt>
                <c:pt idx="174">
                  <c:v>0.24593465444968388</c:v>
                </c:pt>
                <c:pt idx="175">
                  <c:v>0.2435669139178458</c:v>
                </c:pt>
                <c:pt idx="176">
                  <c:v>0.24125168625857896</c:v>
                </c:pt>
                <c:pt idx="177">
                  <c:v>0.2389871642830883</c:v>
                </c:pt>
                <c:pt idx="178">
                  <c:v>0.23677162455953749</c:v>
                </c:pt>
                <c:pt idx="179">
                  <c:v>0.23460342255609135</c:v>
                </c:pt>
                <c:pt idx="180">
                  <c:v>0.23248098812098306</c:v>
                </c:pt>
                <c:pt idx="181">
                  <c:v>0.23040282127243472</c:v>
                </c:pt>
                <c:pt idx="182">
                  <c:v>0.22836748827316455</c:v>
                </c:pt>
                <c:pt idx="183">
                  <c:v>0.22637361796816435</c:v>
                </c:pt>
                <c:pt idx="184">
                  <c:v>0.22441989836426046</c:v>
                </c:pt>
                <c:pt idx="185">
                  <c:v>0.22250507343386516</c:v>
                </c:pt>
                <c:pt idx="186">
                  <c:v>0.22062794012489917</c:v>
                </c:pt>
                <c:pt idx="187">
                  <c:v>0.21878734556224799</c:v>
                </c:pt>
                <c:pt idx="188">
                  <c:v>0.21698218442637085</c:v>
                </c:pt>
                <c:pt idx="189">
                  <c:v>0.21521139649533438</c:v>
                </c:pt>
                <c:pt idx="190">
                  <c:v>0.21347396433952781</c:v>
                </c:pt>
                <c:pt idx="191">
                  <c:v>0.21176891115717922</c:v>
                </c:pt>
                <c:pt idx="192">
                  <c:v>0.21009529874109489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2-2D40-B9C7-0833B931E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436319"/>
        <c:axId val="1049449983"/>
      </c:barChart>
      <c:catAx>
        <c:axId val="1049436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449983"/>
        <c:crosses val="autoZero"/>
        <c:auto val="1"/>
        <c:lblAlgn val="ctr"/>
        <c:lblOffset val="100"/>
        <c:noMultiLvlLbl val="0"/>
      </c:catAx>
      <c:valAx>
        <c:axId val="10494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43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18230</xdr:colOff>
      <xdr:row>2</xdr:row>
      <xdr:rowOff>139761</xdr:rowOff>
    </xdr:from>
    <xdr:to>
      <xdr:col>2</xdr:col>
      <xdr:colOff>246830</xdr:colOff>
      <xdr:row>5</xdr:row>
      <xdr:rowOff>15435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5E146F-FF6B-644E-9E3E-E4F9E1D02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30" y="340287"/>
          <a:ext cx="1881423" cy="477253"/>
        </a:xfrm>
        <a:prstGeom prst="rect">
          <a:avLst/>
        </a:prstGeom>
      </xdr:spPr>
    </xdr:pic>
    <xdr:clientData/>
  </xdr:twoCellAnchor>
  <xdr:twoCellAnchor editAs="oneCell">
    <xdr:from>
      <xdr:col>0</xdr:col>
      <xdr:colOff>18230</xdr:colOff>
      <xdr:row>5</xdr:row>
      <xdr:rowOff>139761</xdr:rowOff>
    </xdr:from>
    <xdr:to>
      <xdr:col>3</xdr:col>
      <xdr:colOff>691330</xdr:colOff>
      <xdr:row>13</xdr:row>
      <xdr:rowOff>165161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AC8244-9530-F40C-D1EA-77EB7F2EB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30" y="941866"/>
          <a:ext cx="3152334" cy="1629610"/>
        </a:xfrm>
        <a:prstGeom prst="rect">
          <a:avLst/>
        </a:prstGeom>
      </xdr:spPr>
    </xdr:pic>
    <xdr:clientData/>
  </xdr:twoCellAnchor>
  <xdr:twoCellAnchor>
    <xdr:from>
      <xdr:col>0</xdr:col>
      <xdr:colOff>17011</xdr:colOff>
      <xdr:row>13</xdr:row>
      <xdr:rowOff>101964</xdr:rowOff>
    </xdr:from>
    <xdr:to>
      <xdr:col>4</xdr:col>
      <xdr:colOff>267366</xdr:colOff>
      <xdr:row>28</xdr:row>
      <xdr:rowOff>103300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79C932-4D25-502A-2393-44D695925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be.ufl.edu/faculty/carpena/files/pdf/publications/refereed_articles/ADesignProcedureForVegetativ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D1BE-E446-B849-BDBD-3ABE671F0213}">
  <dimension ref="A1:M196"/>
  <sheetViews>
    <sheetView tabSelected="1" zoomScaleNormal="100" workbookViewId="0">
      <selection activeCell="C33" sqref="C33"/>
    </sheetView>
  </sheetViews>
  <sheetFormatPr baseColWidth="10" defaultRowHeight="16" x14ac:dyDescent="0.2"/>
  <sheetData>
    <row r="1" spans="1:13" x14ac:dyDescent="0.2">
      <c r="A1" s="1" t="s">
        <v>6</v>
      </c>
    </row>
    <row r="2" spans="1:13" x14ac:dyDescent="0.2">
      <c r="E2" t="s">
        <v>2</v>
      </c>
      <c r="F2">
        <v>20</v>
      </c>
      <c r="G2" t="s">
        <v>3</v>
      </c>
      <c r="J2" t="s">
        <v>2</v>
      </c>
      <c r="K2">
        <v>20</v>
      </c>
      <c r="L2" t="s">
        <v>3</v>
      </c>
    </row>
    <row r="3" spans="1:13" x14ac:dyDescent="0.2">
      <c r="E3" t="s">
        <v>1</v>
      </c>
      <c r="F3" t="s">
        <v>0</v>
      </c>
      <c r="G3" t="s">
        <v>4</v>
      </c>
      <c r="H3" t="s">
        <v>5</v>
      </c>
      <c r="J3" t="s">
        <v>1</v>
      </c>
      <c r="K3" t="s">
        <v>0</v>
      </c>
      <c r="L3" t="s">
        <v>4</v>
      </c>
      <c r="M3" t="s">
        <v>5</v>
      </c>
    </row>
    <row r="4" spans="1:13" x14ac:dyDescent="0.2">
      <c r="E4">
        <v>0</v>
      </c>
      <c r="F4">
        <f>0.5+(E4-12)/24*(24.024/(2*ABS(E4-12)+0.04))^0.75</f>
        <v>2.4960479644475786E-4</v>
      </c>
      <c r="G4">
        <f>F4*$F$2</f>
        <v>4.9920959288951572E-3</v>
      </c>
      <c r="J4">
        <v>0</v>
      </c>
      <c r="K4">
        <f>0.5+(J4-12)/24*(24.024/(2*ABS(J4-12)+0.04))^0.75</f>
        <v>2.4960479644475786E-4</v>
      </c>
      <c r="L4">
        <f>K4*$F$2</f>
        <v>4.9920959288951572E-3</v>
      </c>
    </row>
    <row r="5" spans="1:13" x14ac:dyDescent="0.2">
      <c r="E5">
        <v>0.25</v>
      </c>
      <c r="F5">
        <f t="shared" ref="F5:F68" si="0">0.5+(E5-12)/24*(24.024/(2*ABS(E5-12)+0.04))^0.75</f>
        <v>2.8862561083089489E-3</v>
      </c>
      <c r="G5">
        <f t="shared" ref="G5:G68" si="1">F5*$F$2</f>
        <v>5.7725122166178977E-2</v>
      </c>
      <c r="H5">
        <f>(G5-G4)/(E5-E4)</f>
        <v>0.21093210494913528</v>
      </c>
      <c r="J5">
        <v>0.125</v>
      </c>
      <c r="K5">
        <f t="shared" ref="K5:K68" si="2">0.5+(J5-12)/24*(24.024/(2*ABS(J5-12)+0.04))^0.75</f>
        <v>1.5627004135766454E-3</v>
      </c>
      <c r="L5">
        <f t="shared" ref="L5:L68" si="3">K5*$F$2</f>
        <v>3.1254008271532907E-2</v>
      </c>
      <c r="M5">
        <f>(L5-L4)/(J5-J4)</f>
        <v>0.210095298741102</v>
      </c>
    </row>
    <row r="6" spans="1:13" x14ac:dyDescent="0.2">
      <c r="E6">
        <v>0.5</v>
      </c>
      <c r="F6">
        <f t="shared" si="0"/>
        <v>5.5655396135268487E-3</v>
      </c>
      <c r="G6">
        <f t="shared" si="1"/>
        <v>0.11131079227053697</v>
      </c>
      <c r="H6">
        <f t="shared" ref="H6:H69" si="4">(G6-G5)/(E6-E5)</f>
        <v>0.21434268041743199</v>
      </c>
      <c r="J6">
        <v>0.25</v>
      </c>
      <c r="K6">
        <f t="shared" si="2"/>
        <v>2.8862561083089489E-3</v>
      </c>
      <c r="L6">
        <f t="shared" si="3"/>
        <v>5.7725122166178977E-2</v>
      </c>
      <c r="M6">
        <f t="shared" ref="M6:M69" si="5">(L6-L5)/(J6-J5)</f>
        <v>0.21176891115716856</v>
      </c>
    </row>
    <row r="7" spans="1:13" x14ac:dyDescent="0.2">
      <c r="E7">
        <v>0.75</v>
      </c>
      <c r="F7">
        <f t="shared" si="0"/>
        <v>8.2890991759556609E-3</v>
      </c>
      <c r="G7">
        <f t="shared" si="1"/>
        <v>0.16578198351911322</v>
      </c>
      <c r="H7">
        <f t="shared" si="4"/>
        <v>0.21788476499430498</v>
      </c>
      <c r="J7">
        <v>0.375</v>
      </c>
      <c r="K7">
        <f t="shared" si="2"/>
        <v>4.2204683854309422E-3</v>
      </c>
      <c r="L7">
        <f t="shared" si="3"/>
        <v>8.4409367708618843E-2</v>
      </c>
      <c r="M7">
        <f t="shared" si="5"/>
        <v>0.21347396433951893</v>
      </c>
    </row>
    <row r="8" spans="1:13" x14ac:dyDescent="0.2">
      <c r="E8">
        <v>1</v>
      </c>
      <c r="F8">
        <f t="shared" si="0"/>
        <v>1.1058680510698027E-2</v>
      </c>
      <c r="G8">
        <f t="shared" si="1"/>
        <v>0.22117361021396054</v>
      </c>
      <c r="H8">
        <f t="shared" si="4"/>
        <v>0.22156650677938927</v>
      </c>
      <c r="J8">
        <v>0.5</v>
      </c>
      <c r="K8">
        <f t="shared" si="2"/>
        <v>5.5655396135268487E-3</v>
      </c>
      <c r="L8">
        <f t="shared" si="3"/>
        <v>0.11131079227053697</v>
      </c>
      <c r="M8">
        <f t="shared" si="5"/>
        <v>0.21521139649534504</v>
      </c>
    </row>
    <row r="9" spans="1:13" x14ac:dyDescent="0.2">
      <c r="E9">
        <v>1.25</v>
      </c>
      <c r="F9">
        <f t="shared" si="0"/>
        <v>1.3876139987775649E-2</v>
      </c>
      <c r="G9">
        <f t="shared" si="1"/>
        <v>0.27752279975551297</v>
      </c>
      <c r="H9">
        <f t="shared" si="4"/>
        <v>0.22539675816620974</v>
      </c>
      <c r="J9">
        <v>0.625</v>
      </c>
      <c r="K9">
        <f t="shared" si="2"/>
        <v>6.921678266191722E-3</v>
      </c>
      <c r="L9">
        <f t="shared" si="3"/>
        <v>0.13843356532383444</v>
      </c>
      <c r="M9">
        <f t="shared" si="5"/>
        <v>0.21698218442637973</v>
      </c>
    </row>
    <row r="10" spans="1:13" x14ac:dyDescent="0.2">
      <c r="E10">
        <v>1.5</v>
      </c>
      <c r="F10">
        <f t="shared" si="0"/>
        <v>1.6743454422435633E-2</v>
      </c>
      <c r="G10">
        <f t="shared" si="1"/>
        <v>0.33486908844871266</v>
      </c>
      <c r="H10">
        <f t="shared" si="4"/>
        <v>0.22938515477279875</v>
      </c>
      <c r="J10">
        <v>0.75</v>
      </c>
      <c r="K10">
        <f t="shared" si="2"/>
        <v>8.2890991759556609E-3</v>
      </c>
      <c r="L10">
        <f t="shared" si="3"/>
        <v>0.16578198351911322</v>
      </c>
      <c r="M10">
        <f t="shared" si="5"/>
        <v>0.21878734556223023</v>
      </c>
    </row>
    <row r="11" spans="1:13" x14ac:dyDescent="0.2">
      <c r="E11">
        <v>1.75</v>
      </c>
      <c r="F11">
        <f t="shared" si="0"/>
        <v>1.9662731989167292E-2</v>
      </c>
      <c r="G11">
        <f t="shared" si="1"/>
        <v>0.39325463978334585</v>
      </c>
      <c r="H11">
        <f t="shared" si="4"/>
        <v>0.23354220533853276</v>
      </c>
      <c r="J11">
        <v>0.875</v>
      </c>
      <c r="K11">
        <f t="shared" si="2"/>
        <v>9.6680238017362585E-3</v>
      </c>
      <c r="L11">
        <f t="shared" si="3"/>
        <v>0.19336047603472517</v>
      </c>
      <c r="M11">
        <f t="shared" si="5"/>
        <v>0.22062794012489562</v>
      </c>
    </row>
    <row r="12" spans="1:13" x14ac:dyDescent="0.2">
      <c r="E12">
        <v>2</v>
      </c>
      <c r="F12">
        <f t="shared" si="0"/>
        <v>2.2636224419433804E-2</v>
      </c>
      <c r="G12">
        <f t="shared" si="1"/>
        <v>0.45272448838867607</v>
      </c>
      <c r="H12">
        <f t="shared" si="4"/>
        <v>0.23787939442132089</v>
      </c>
      <c r="J12">
        <v>1</v>
      </c>
      <c r="K12">
        <f t="shared" si="2"/>
        <v>1.1058680510698027E-2</v>
      </c>
      <c r="L12">
        <f t="shared" si="3"/>
        <v>0.22117361021396054</v>
      </c>
      <c r="M12">
        <f t="shared" si="5"/>
        <v>0.22250507343388293</v>
      </c>
    </row>
    <row r="13" spans="1:13" x14ac:dyDescent="0.2">
      <c r="E13">
        <v>2.25</v>
      </c>
      <c r="F13">
        <f t="shared" si="0"/>
        <v>2.5666340670536469E-2</v>
      </c>
      <c r="G13">
        <f t="shared" si="1"/>
        <v>0.51332681341072939</v>
      </c>
      <c r="H13">
        <f t="shared" si="4"/>
        <v>0.24240930008821326</v>
      </c>
      <c r="J13">
        <v>1.125</v>
      </c>
      <c r="K13">
        <f t="shared" si="2"/>
        <v>1.2461304875474755E-2</v>
      </c>
      <c r="L13">
        <f t="shared" si="3"/>
        <v>0.24922609750949509</v>
      </c>
      <c r="M13">
        <f t="shared" si="5"/>
        <v>0.22441989836427645</v>
      </c>
    </row>
    <row r="14" spans="1:13" x14ac:dyDescent="0.2">
      <c r="E14">
        <v>2.5</v>
      </c>
      <c r="F14">
        <f t="shared" si="0"/>
        <v>2.875566228599169E-2</v>
      </c>
      <c r="G14">
        <f t="shared" si="1"/>
        <v>0.5751132457198338</v>
      </c>
      <c r="H14">
        <f t="shared" si="4"/>
        <v>0.24714572923641764</v>
      </c>
      <c r="J14">
        <v>1.25</v>
      </c>
      <c r="K14">
        <f t="shared" si="2"/>
        <v>1.3876139987775649E-2</v>
      </c>
      <c r="L14">
        <f t="shared" si="3"/>
        <v>0.27752279975551297</v>
      </c>
      <c r="M14">
        <f t="shared" si="5"/>
        <v>0.22637361796814304</v>
      </c>
    </row>
    <row r="15" spans="1:13" x14ac:dyDescent="0.2">
      <c r="E15">
        <v>2.75</v>
      </c>
      <c r="F15">
        <f t="shared" si="0"/>
        <v>3.1906960707594634E-2</v>
      </c>
      <c r="G15">
        <f t="shared" si="1"/>
        <v>0.63813921415189268</v>
      </c>
      <c r="H15">
        <f t="shared" si="4"/>
        <v>0.25210387372823551</v>
      </c>
      <c r="J15">
        <v>1.375</v>
      </c>
      <c r="K15">
        <f t="shared" si="2"/>
        <v>1.5303436789482983E-2</v>
      </c>
      <c r="L15">
        <f t="shared" si="3"/>
        <v>0.30606873578965965</v>
      </c>
      <c r="M15">
        <f t="shared" si="5"/>
        <v>0.22836748827317344</v>
      </c>
    </row>
    <row r="16" spans="1:13" x14ac:dyDescent="0.2">
      <c r="E16">
        <v>3</v>
      </c>
      <c r="F16">
        <f t="shared" si="0"/>
        <v>3.5123216847608107E-2</v>
      </c>
      <c r="G16">
        <f t="shared" si="1"/>
        <v>0.70246433695216215</v>
      </c>
      <c r="H16">
        <f t="shared" si="4"/>
        <v>0.2573004912010779</v>
      </c>
      <c r="J16">
        <v>1.5</v>
      </c>
      <c r="K16">
        <f t="shared" si="2"/>
        <v>1.6743454422435633E-2</v>
      </c>
      <c r="L16">
        <f t="shared" si="3"/>
        <v>0.33486908844871266</v>
      </c>
      <c r="M16">
        <f t="shared" si="5"/>
        <v>0.23040282127242406</v>
      </c>
    </row>
    <row r="17" spans="5:13" x14ac:dyDescent="0.2">
      <c r="E17">
        <v>3.25</v>
      </c>
      <c r="F17">
        <f t="shared" si="0"/>
        <v>3.8407643288357773E-2</v>
      </c>
      <c r="G17">
        <f t="shared" si="1"/>
        <v>0.76815286576715547</v>
      </c>
      <c r="H17">
        <f t="shared" si="4"/>
        <v>0.26275411525997328</v>
      </c>
      <c r="J17">
        <v>1.625</v>
      </c>
      <c r="K17">
        <f t="shared" si="2"/>
        <v>1.8196460598191799E-2</v>
      </c>
      <c r="L17">
        <f t="shared" si="3"/>
        <v>0.36392921196383599</v>
      </c>
      <c r="M17">
        <f t="shared" si="5"/>
        <v>0.23248098812098661</v>
      </c>
    </row>
    <row r="18" spans="5:13" x14ac:dyDescent="0.2">
      <c r="E18">
        <v>3.5</v>
      </c>
      <c r="F18">
        <f t="shared" si="0"/>
        <v>4.1763709548619243E-2</v>
      </c>
      <c r="G18">
        <f t="shared" si="1"/>
        <v>0.83527419097238487</v>
      </c>
      <c r="H18">
        <f t="shared" si="4"/>
        <v>0.26848530082091759</v>
      </c>
      <c r="J18">
        <v>1.75</v>
      </c>
      <c r="K18">
        <f t="shared" si="2"/>
        <v>1.9662731989167292E-2</v>
      </c>
      <c r="L18">
        <f t="shared" si="3"/>
        <v>0.39325463978334585</v>
      </c>
      <c r="M18">
        <f t="shared" si="5"/>
        <v>0.23460342255607891</v>
      </c>
    </row>
    <row r="19" spans="5:13" x14ac:dyDescent="0.2">
      <c r="E19">
        <v>3.75</v>
      </c>
      <c r="F19">
        <f t="shared" si="0"/>
        <v>4.5195170945023067E-2</v>
      </c>
      <c r="G19">
        <f t="shared" si="1"/>
        <v>0.90390341890046133</v>
      </c>
      <c r="H19">
        <f t="shared" si="4"/>
        <v>0.27451691171230586</v>
      </c>
      <c r="J19">
        <v>1.875</v>
      </c>
      <c r="K19">
        <f t="shared" si="2"/>
        <v>2.1142554642664513E-2</v>
      </c>
      <c r="L19">
        <f t="shared" si="3"/>
        <v>0.42285109285329026</v>
      </c>
      <c r="M19">
        <f t="shared" si="5"/>
        <v>0.23677162455955525</v>
      </c>
    </row>
    <row r="20" spans="5:13" x14ac:dyDescent="0.2">
      <c r="E20">
        <v>4</v>
      </c>
      <c r="F20">
        <f t="shared" si="0"/>
        <v>4.8706101686809111E-2</v>
      </c>
      <c r="G20">
        <f t="shared" si="1"/>
        <v>0.97412203373618222</v>
      </c>
      <c r="H20">
        <f t="shared" si="4"/>
        <v>0.28087445934288358</v>
      </c>
      <c r="J20">
        <v>2</v>
      </c>
      <c r="K20">
        <f t="shared" si="2"/>
        <v>2.2636224419433804E-2</v>
      </c>
      <c r="L20">
        <f t="shared" si="3"/>
        <v>0.45272448838867607</v>
      </c>
      <c r="M20">
        <f t="shared" si="5"/>
        <v>0.23898716428308653</v>
      </c>
    </row>
    <row r="21" spans="5:13" x14ac:dyDescent="0.2">
      <c r="E21">
        <v>4.25</v>
      </c>
      <c r="F21">
        <f t="shared" si="0"/>
        <v>5.2300932979559844E-2</v>
      </c>
      <c r="G21">
        <f t="shared" si="1"/>
        <v>1.0460186595911969</v>
      </c>
      <c r="H21">
        <f t="shared" si="4"/>
        <v>0.28758650342005865</v>
      </c>
      <c r="J21">
        <v>2.125</v>
      </c>
      <c r="K21">
        <f t="shared" si="2"/>
        <v>2.4144047458549978E-2</v>
      </c>
      <c r="L21">
        <f t="shared" si="3"/>
        <v>0.48288094917099955</v>
      </c>
      <c r="M21">
        <f t="shared" si="5"/>
        <v>0.24125168625858784</v>
      </c>
    </row>
    <row r="22" spans="5:13" x14ac:dyDescent="0.2">
      <c r="E22">
        <v>4.5</v>
      </c>
      <c r="F22">
        <f t="shared" si="0"/>
        <v>5.5984497085855345E-2</v>
      </c>
      <c r="G22">
        <f t="shared" si="1"/>
        <v>1.1196899417171069</v>
      </c>
      <c r="H22">
        <f t="shared" si="4"/>
        <v>0.29468512850364004</v>
      </c>
      <c r="J22">
        <v>2.25</v>
      </c>
      <c r="K22">
        <f t="shared" si="2"/>
        <v>2.5666340670536469E-2</v>
      </c>
      <c r="L22">
        <f t="shared" si="3"/>
        <v>0.51332681341072939</v>
      </c>
      <c r="M22">
        <f t="shared" si="5"/>
        <v>0.24356691391783869</v>
      </c>
    </row>
    <row r="23" spans="5:13" x14ac:dyDescent="0.2">
      <c r="E23">
        <v>4.75</v>
      </c>
      <c r="F23">
        <f t="shared" si="0"/>
        <v>5.976207850856402E-2</v>
      </c>
      <c r="G23">
        <f t="shared" si="1"/>
        <v>1.1952415701712804</v>
      </c>
      <c r="H23">
        <f t="shared" si="4"/>
        <v>0.30220651381669406</v>
      </c>
      <c r="J23">
        <v>2.375</v>
      </c>
      <c r="K23">
        <f t="shared" si="2"/>
        <v>2.7203432260846983E-2</v>
      </c>
      <c r="L23">
        <f t="shared" si="3"/>
        <v>0.54406864521693965</v>
      </c>
      <c r="M23">
        <f t="shared" si="5"/>
        <v>0.2459346544496821</v>
      </c>
    </row>
    <row r="24" spans="5:13" x14ac:dyDescent="0.2">
      <c r="E24">
        <v>5</v>
      </c>
      <c r="F24">
        <f t="shared" si="0"/>
        <v>6.363947373971679E-2</v>
      </c>
      <c r="G24">
        <f t="shared" si="1"/>
        <v>1.2727894747943358</v>
      </c>
      <c r="H24">
        <f t="shared" si="4"/>
        <v>0.31019161849222154</v>
      </c>
      <c r="J24">
        <v>2.5</v>
      </c>
      <c r="K24">
        <f t="shared" si="2"/>
        <v>2.875566228599169E-2</v>
      </c>
      <c r="L24">
        <f t="shared" si="3"/>
        <v>0.5751132457198338</v>
      </c>
      <c r="M24">
        <f t="shared" si="5"/>
        <v>0.24835680402315319</v>
      </c>
    </row>
    <row r="25" spans="5:13" x14ac:dyDescent="0.2">
      <c r="E25">
        <v>5.25</v>
      </c>
      <c r="F25">
        <f t="shared" si="0"/>
        <v>6.7623061373605742E-2</v>
      </c>
      <c r="G25">
        <f t="shared" si="1"/>
        <v>1.3524612274721148</v>
      </c>
      <c r="H25">
        <f t="shared" si="4"/>
        <v>0.31868701071111616</v>
      </c>
      <c r="J25">
        <v>2.625</v>
      </c>
      <c r="K25">
        <f t="shared" si="2"/>
        <v>3.0323383244806934E-2</v>
      </c>
      <c r="L25">
        <f t="shared" si="3"/>
        <v>0.60646766489613868</v>
      </c>
      <c r="M25">
        <f t="shared" si="5"/>
        <v>0.25083535341043905</v>
      </c>
    </row>
    <row r="26" spans="5:13" x14ac:dyDescent="0.2">
      <c r="E26">
        <v>5.5</v>
      </c>
      <c r="F26">
        <f t="shared" si="0"/>
        <v>7.1719884842942339E-2</v>
      </c>
      <c r="G26">
        <f t="shared" si="1"/>
        <v>1.4343976968588468</v>
      </c>
      <c r="H26">
        <f t="shared" si="4"/>
        <v>0.32774587754692774</v>
      </c>
      <c r="J26">
        <v>2.75</v>
      </c>
      <c r="K26">
        <f t="shared" si="2"/>
        <v>3.1906960707594634E-2</v>
      </c>
      <c r="L26">
        <f t="shared" si="3"/>
        <v>0.63813921415189268</v>
      </c>
      <c r="M26">
        <f t="shared" si="5"/>
        <v>0.25337239404603196</v>
      </c>
    </row>
    <row r="27" spans="5:13" x14ac:dyDescent="0.2">
      <c r="E27">
        <v>5.75</v>
      </c>
      <c r="F27">
        <f t="shared" si="0"/>
        <v>7.5937750637612045E-2</v>
      </c>
      <c r="G27">
        <f t="shared" si="1"/>
        <v>1.5187550127522409</v>
      </c>
      <c r="H27">
        <f t="shared" si="4"/>
        <v>0.3374292635735765</v>
      </c>
      <c r="J27">
        <v>2.875</v>
      </c>
      <c r="K27">
        <f t="shared" si="2"/>
        <v>3.3506773986103133E-2</v>
      </c>
      <c r="L27">
        <f t="shared" si="3"/>
        <v>0.67013547972206267</v>
      </c>
      <c r="M27">
        <f t="shared" si="5"/>
        <v>0.25597012456135992</v>
      </c>
    </row>
    <row r="28" spans="5:13" x14ac:dyDescent="0.2">
      <c r="E28">
        <v>6</v>
      </c>
      <c r="F28">
        <f t="shared" si="0"/>
        <v>8.0285345657209517E-2</v>
      </c>
      <c r="G28">
        <f t="shared" si="1"/>
        <v>1.6057069131441903</v>
      </c>
      <c r="H28">
        <f t="shared" si="4"/>
        <v>0.34780760156779778</v>
      </c>
      <c r="J28">
        <v>3</v>
      </c>
      <c r="K28">
        <f t="shared" si="2"/>
        <v>3.5123216847608107E-2</v>
      </c>
      <c r="L28">
        <f t="shared" si="3"/>
        <v>0.70246433695216215</v>
      </c>
      <c r="M28">
        <f t="shared" si="5"/>
        <v>0.25863085784079587</v>
      </c>
    </row>
    <row r="29" spans="5:13" x14ac:dyDescent="0.2">
      <c r="E29">
        <v>6.25</v>
      </c>
      <c r="F29">
        <f t="shared" si="0"/>
        <v>8.4772378402584891E-2</v>
      </c>
      <c r="G29">
        <f t="shared" si="1"/>
        <v>1.6954475680516978</v>
      </c>
      <c r="H29">
        <f t="shared" si="4"/>
        <v>0.35896261963002996</v>
      </c>
      <c r="J29">
        <v>3.125</v>
      </c>
      <c r="K29">
        <f t="shared" si="2"/>
        <v>3.6756698276653288E-2</v>
      </c>
      <c r="L29">
        <f t="shared" si="3"/>
        <v>0.73513396553306576</v>
      </c>
      <c r="M29">
        <f t="shared" si="5"/>
        <v>0.26135702864722887</v>
      </c>
    </row>
    <row r="30" spans="5:13" x14ac:dyDescent="0.2">
      <c r="E30">
        <v>6.5</v>
      </c>
      <c r="F30">
        <f t="shared" si="0"/>
        <v>8.9409750130681642E-2</v>
      </c>
      <c r="G30">
        <f t="shared" si="1"/>
        <v>1.7881950026136328</v>
      </c>
      <c r="H30">
        <f t="shared" si="4"/>
        <v>0.37098973824774006</v>
      </c>
      <c r="J30">
        <v>3.25</v>
      </c>
      <c r="K30">
        <f t="shared" si="2"/>
        <v>3.8407643288357773E-2</v>
      </c>
      <c r="L30">
        <f t="shared" si="3"/>
        <v>0.76815286576715547</v>
      </c>
      <c r="M30">
        <f t="shared" si="5"/>
        <v>0.26415120187271768</v>
      </c>
    </row>
    <row r="31" spans="5:13" x14ac:dyDescent="0.2">
      <c r="E31">
        <v>6.75</v>
      </c>
      <c r="F31">
        <f t="shared" si="0"/>
        <v>9.4209764030356469E-2</v>
      </c>
      <c r="G31">
        <f t="shared" si="1"/>
        <v>1.8841952806071294</v>
      </c>
      <c r="H31">
        <f t="shared" si="4"/>
        <v>0.38400111197398612</v>
      </c>
      <c r="J31">
        <v>3.375</v>
      </c>
      <c r="K31">
        <f t="shared" si="2"/>
        <v>4.0076493797575441E-2</v>
      </c>
      <c r="L31">
        <f t="shared" si="3"/>
        <v>0.80152987595150882</v>
      </c>
      <c r="M31">
        <f t="shared" si="5"/>
        <v>0.26701608147482681</v>
      </c>
    </row>
    <row r="32" spans="5:13" x14ac:dyDescent="0.2">
      <c r="E32">
        <v>7</v>
      </c>
      <c r="F32">
        <f t="shared" si="0"/>
        <v>9.918638314551731E-2</v>
      </c>
      <c r="G32">
        <f t="shared" si="1"/>
        <v>1.9837276629103462</v>
      </c>
      <c r="H32">
        <f t="shared" si="4"/>
        <v>0.39812952921286726</v>
      </c>
      <c r="J32">
        <v>3.5</v>
      </c>
      <c r="K32">
        <f t="shared" si="2"/>
        <v>4.1763709548619243E-2</v>
      </c>
      <c r="L32">
        <f t="shared" si="3"/>
        <v>0.83527419097238487</v>
      </c>
      <c r="M32">
        <f t="shared" si="5"/>
        <v>0.26995452016700838</v>
      </c>
    </row>
    <row r="33" spans="5:13" x14ac:dyDescent="0.2">
      <c r="E33">
        <v>7.25</v>
      </c>
      <c r="F33">
        <f t="shared" si="0"/>
        <v>0.10435555150774029</v>
      </c>
      <c r="G33">
        <f t="shared" si="1"/>
        <v>2.0871110301548059</v>
      </c>
      <c r="H33">
        <f t="shared" si="4"/>
        <v>0.41353346897783894</v>
      </c>
      <c r="J33">
        <v>3.625</v>
      </c>
      <c r="K33">
        <f t="shared" si="2"/>
        <v>4.3469769110732748E-2</v>
      </c>
      <c r="L33">
        <f t="shared" si="3"/>
        <v>0.86939538221465495</v>
      </c>
      <c r="M33">
        <f t="shared" si="5"/>
        <v>0.2729695299381607</v>
      </c>
    </row>
    <row r="34" spans="5:13" x14ac:dyDescent="0.2">
      <c r="E34">
        <v>7.5</v>
      </c>
      <c r="F34">
        <f t="shared" si="0"/>
        <v>0.10973559825163398</v>
      </c>
      <c r="G34">
        <f t="shared" si="1"/>
        <v>2.1947119650326794</v>
      </c>
      <c r="H34">
        <f t="shared" si="4"/>
        <v>0.43040373951149391</v>
      </c>
      <c r="J34">
        <v>3.75</v>
      </c>
      <c r="K34">
        <f t="shared" si="2"/>
        <v>4.5195170945023067E-2</v>
      </c>
      <c r="L34">
        <f t="shared" si="3"/>
        <v>0.90390341890046133</v>
      </c>
      <c r="M34">
        <f t="shared" si="5"/>
        <v>0.27606429348645101</v>
      </c>
    </row>
    <row r="35" spans="5:13" x14ac:dyDescent="0.2">
      <c r="E35">
        <v>7.75</v>
      </c>
      <c r="F35">
        <f t="shared" si="0"/>
        <v>0.11534775216576632</v>
      </c>
      <c r="G35">
        <f t="shared" si="1"/>
        <v>2.3069550433153263</v>
      </c>
      <c r="H35">
        <f t="shared" si="4"/>
        <v>0.44897231313058761</v>
      </c>
      <c r="J35">
        <v>3.875</v>
      </c>
      <c r="K35">
        <f t="shared" si="2"/>
        <v>4.6940434549159915E-2</v>
      </c>
      <c r="L35">
        <f t="shared" si="3"/>
        <v>0.9388086909831983</v>
      </c>
      <c r="M35">
        <f t="shared" si="5"/>
        <v>0.27924217666189577</v>
      </c>
    </row>
    <row r="36" spans="5:13" x14ac:dyDescent="0.2">
      <c r="E36">
        <v>8</v>
      </c>
      <c r="F36">
        <f t="shared" si="0"/>
        <v>0.12121680544535995</v>
      </c>
      <c r="G36">
        <f t="shared" si="1"/>
        <v>2.4243361089071991</v>
      </c>
      <c r="H36">
        <f t="shared" si="4"/>
        <v>0.46952426236749112</v>
      </c>
      <c r="J36">
        <v>4</v>
      </c>
      <c r="K36">
        <f t="shared" si="2"/>
        <v>4.8706101686809111E-2</v>
      </c>
      <c r="L36">
        <f t="shared" si="3"/>
        <v>0.97412203373618222</v>
      </c>
      <c r="M36">
        <f t="shared" si="5"/>
        <v>0.28250674202387138</v>
      </c>
    </row>
    <row r="37" spans="5:13" x14ac:dyDescent="0.2">
      <c r="E37">
        <v>8.25</v>
      </c>
      <c r="F37">
        <f t="shared" si="0"/>
        <v>0.12737198242799708</v>
      </c>
      <c r="G37">
        <f t="shared" si="1"/>
        <v>2.5474396485599415</v>
      </c>
      <c r="H37">
        <f t="shared" si="4"/>
        <v>0.49241415861096982</v>
      </c>
      <c r="J37">
        <v>4.125</v>
      </c>
      <c r="K37">
        <f t="shared" si="2"/>
        <v>5.0492737709511737E-2</v>
      </c>
      <c r="L37">
        <f t="shared" si="3"/>
        <v>1.0098547541902347</v>
      </c>
      <c r="M37">
        <f t="shared" si="5"/>
        <v>0.28586176363242011</v>
      </c>
    </row>
    <row r="38" spans="5:13" x14ac:dyDescent="0.2">
      <c r="E38">
        <v>8.5</v>
      </c>
      <c r="F38">
        <f t="shared" si="0"/>
        <v>0.13384809528062608</v>
      </c>
      <c r="G38">
        <f t="shared" si="1"/>
        <v>2.6769619056125213</v>
      </c>
      <c r="H38">
        <f t="shared" si="4"/>
        <v>0.51808902821031921</v>
      </c>
      <c r="J38">
        <v>4.25</v>
      </c>
      <c r="K38">
        <f t="shared" si="2"/>
        <v>5.2300932979559844E-2</v>
      </c>
      <c r="L38">
        <f t="shared" si="3"/>
        <v>1.0460186595911969</v>
      </c>
      <c r="M38">
        <f t="shared" si="5"/>
        <v>0.28931124320769719</v>
      </c>
    </row>
    <row r="39" spans="5:13" x14ac:dyDescent="0.2">
      <c r="E39">
        <v>8.75</v>
      </c>
      <c r="F39">
        <f t="shared" si="0"/>
        <v>0.14068710996561351</v>
      </c>
      <c r="G39">
        <f t="shared" si="1"/>
        <v>2.8137421993122702</v>
      </c>
      <c r="H39">
        <f t="shared" si="4"/>
        <v>0.54712117479899547</v>
      </c>
      <c r="J39">
        <v>4.375</v>
      </c>
      <c r="K39">
        <f t="shared" si="2"/>
        <v>5.4131304403362279E-2</v>
      </c>
      <c r="L39">
        <f t="shared" si="3"/>
        <v>1.0826260880672456</v>
      </c>
      <c r="M39">
        <f t="shared" si="5"/>
        <v>0.29285942780838958</v>
      </c>
    </row>
    <row r="40" spans="5:13" x14ac:dyDescent="0.2">
      <c r="E40">
        <v>9</v>
      </c>
      <c r="F40">
        <f t="shared" si="0"/>
        <v>0.14794031307442485</v>
      </c>
      <c r="G40">
        <f t="shared" si="1"/>
        <v>2.9588062614884967</v>
      </c>
      <c r="H40">
        <f t="shared" si="4"/>
        <v>0.58025624870490589</v>
      </c>
      <c r="J40">
        <v>4.5</v>
      </c>
      <c r="K40">
        <f t="shared" si="2"/>
        <v>5.5984497085855345E-2</v>
      </c>
      <c r="L40">
        <f t="shared" si="3"/>
        <v>1.1196899417171069</v>
      </c>
      <c r="M40">
        <f t="shared" si="5"/>
        <v>0.29651082919889049</v>
      </c>
    </row>
    <row r="41" spans="5:13" x14ac:dyDescent="0.2">
      <c r="E41">
        <v>9.25</v>
      </c>
      <c r="F41">
        <f t="shared" si="0"/>
        <v>0.15567138320819596</v>
      </c>
      <c r="G41">
        <f t="shared" si="1"/>
        <v>3.1134276641639191</v>
      </c>
      <c r="H41">
        <f t="shared" si="4"/>
        <v>0.61848561070168984</v>
      </c>
      <c r="J41">
        <v>4.625</v>
      </c>
      <c r="K41">
        <f t="shared" si="2"/>
        <v>5.7861186117725061E-2</v>
      </c>
      <c r="L41">
        <f t="shared" si="3"/>
        <v>1.1572237223545012</v>
      </c>
      <c r="M41">
        <f t="shared" si="5"/>
        <v>0.30027024509915456</v>
      </c>
    </row>
    <row r="42" spans="5:13" x14ac:dyDescent="0.2">
      <c r="E42">
        <v>9.5</v>
      </c>
      <c r="F42">
        <f t="shared" si="0"/>
        <v>0.16396086817165539</v>
      </c>
      <c r="G42">
        <f t="shared" si="1"/>
        <v>3.2792173634331077</v>
      </c>
      <c r="H42">
        <f t="shared" si="4"/>
        <v>0.66315879707675407</v>
      </c>
      <c r="J42">
        <v>4.75</v>
      </c>
      <c r="K42">
        <f t="shared" si="2"/>
        <v>5.976207850856402E-2</v>
      </c>
      <c r="L42">
        <f t="shared" si="3"/>
        <v>1.1952415701712804</v>
      </c>
      <c r="M42">
        <f t="shared" si="5"/>
        <v>0.30414278253423355</v>
      </c>
    </row>
    <row r="43" spans="5:13" x14ac:dyDescent="0.2">
      <c r="E43">
        <v>9.75</v>
      </c>
      <c r="F43">
        <f t="shared" si="0"/>
        <v>0.17291293024391691</v>
      </c>
      <c r="G43">
        <f t="shared" si="1"/>
        <v>3.4582586048783384</v>
      </c>
      <c r="H43">
        <f t="shared" si="4"/>
        <v>0.71616496578092281</v>
      </c>
      <c r="J43">
        <v>4.875</v>
      </c>
      <c r="K43">
        <f t="shared" si="2"/>
        <v>6.1687915280639827E-2</v>
      </c>
      <c r="L43">
        <f t="shared" si="3"/>
        <v>1.2337583056127965</v>
      </c>
      <c r="M43">
        <f t="shared" si="5"/>
        <v>0.308133883532129</v>
      </c>
    </row>
    <row r="44" spans="5:13" x14ac:dyDescent="0.2">
      <c r="E44">
        <v>10</v>
      </c>
      <c r="F44">
        <f t="shared" si="0"/>
        <v>0.18266591709212482</v>
      </c>
      <c r="G44">
        <f t="shared" si="1"/>
        <v>3.6533183418424962</v>
      </c>
      <c r="H44">
        <f t="shared" si="4"/>
        <v>0.78023894785663117</v>
      </c>
      <c r="J44">
        <v>5</v>
      </c>
      <c r="K44">
        <f t="shared" si="2"/>
        <v>6.363947373971679E-2</v>
      </c>
      <c r="L44">
        <f t="shared" si="3"/>
        <v>1.2727894747943358</v>
      </c>
      <c r="M44">
        <f t="shared" si="5"/>
        <v>0.31224935345231408</v>
      </c>
    </row>
    <row r="45" spans="5:13" x14ac:dyDescent="0.2">
      <c r="E45">
        <v>10.25</v>
      </c>
      <c r="F45">
        <f t="shared" si="0"/>
        <v>0.1934097427398071</v>
      </c>
      <c r="G45">
        <f t="shared" si="1"/>
        <v>3.8681948547961422</v>
      </c>
      <c r="H45">
        <f t="shared" si="4"/>
        <v>0.85950605181458428</v>
      </c>
      <c r="J45">
        <v>5.125</v>
      </c>
      <c r="K45">
        <f t="shared" si="2"/>
        <v>6.5617569941379184E-2</v>
      </c>
      <c r="L45">
        <f t="shared" si="3"/>
        <v>1.3123513988275837</v>
      </c>
      <c r="M45">
        <f t="shared" si="5"/>
        <v>0.316495392265983</v>
      </c>
    </row>
    <row r="46" spans="5:13" x14ac:dyDescent="0.2">
      <c r="E46">
        <v>10.5</v>
      </c>
      <c r="F46">
        <f t="shared" si="0"/>
        <v>0.20541622784120317</v>
      </c>
      <c r="G46">
        <f t="shared" si="1"/>
        <v>4.1083245568240638</v>
      </c>
      <c r="H46">
        <f t="shared" si="4"/>
        <v>0.96051880811168644</v>
      </c>
      <c r="J46">
        <v>5.25</v>
      </c>
      <c r="K46">
        <f t="shared" si="2"/>
        <v>6.7623061373605742E-2</v>
      </c>
      <c r="L46">
        <f t="shared" si="3"/>
        <v>1.3524612274721148</v>
      </c>
      <c r="M46">
        <f t="shared" si="5"/>
        <v>0.32087862915624932</v>
      </c>
    </row>
    <row r="47" spans="5:13" x14ac:dyDescent="0.2">
      <c r="E47">
        <v>10.75</v>
      </c>
      <c r="F47">
        <f t="shared" si="0"/>
        <v>0.21909629123142838</v>
      </c>
      <c r="G47">
        <f t="shared" si="1"/>
        <v>4.3819258246285671</v>
      </c>
      <c r="H47">
        <f t="shared" si="4"/>
        <v>1.0944050712180129</v>
      </c>
      <c r="J47">
        <v>5.375</v>
      </c>
      <c r="K47">
        <f t="shared" si="2"/>
        <v>6.9656849878980243E-2</v>
      </c>
      <c r="L47">
        <f t="shared" si="3"/>
        <v>1.3931369975796049</v>
      </c>
      <c r="M47">
        <f t="shared" si="5"/>
        <v>0.32540616085992013</v>
      </c>
    </row>
    <row r="48" spans="5:13" x14ac:dyDescent="0.2">
      <c r="E48">
        <v>11</v>
      </c>
      <c r="F48">
        <f t="shared" si="0"/>
        <v>0.23511941792188423</v>
      </c>
      <c r="G48">
        <f t="shared" si="1"/>
        <v>4.7023883584376849</v>
      </c>
      <c r="H48">
        <f t="shared" si="4"/>
        <v>1.2818501352364713</v>
      </c>
      <c r="J48">
        <v>5.5</v>
      </c>
      <c r="K48">
        <f t="shared" si="2"/>
        <v>7.1719884842942339E-2</v>
      </c>
      <c r="L48">
        <f t="shared" si="3"/>
        <v>1.4343976968588468</v>
      </c>
      <c r="M48">
        <f t="shared" si="5"/>
        <v>0.33008559423393535</v>
      </c>
    </row>
    <row r="49" spans="5:13" x14ac:dyDescent="0.2">
      <c r="E49">
        <v>11.25</v>
      </c>
      <c r="F49">
        <f t="shared" si="0"/>
        <v>0.25470230320665588</v>
      </c>
      <c r="G49">
        <f t="shared" si="1"/>
        <v>5.0940460641331171</v>
      </c>
      <c r="H49">
        <f t="shared" si="4"/>
        <v>1.5666308227817289</v>
      </c>
      <c r="J49">
        <v>5.625</v>
      </c>
      <c r="K49">
        <f t="shared" si="2"/>
        <v>7.381316667797122E-2</v>
      </c>
      <c r="L49">
        <f t="shared" si="3"/>
        <v>1.4762633335594244</v>
      </c>
      <c r="M49">
        <f t="shared" si="5"/>
        <v>0.33492509360462108</v>
      </c>
    </row>
    <row r="50" spans="5:13" x14ac:dyDescent="0.2">
      <c r="E50">
        <v>11.5</v>
      </c>
      <c r="F50">
        <f t="shared" si="0"/>
        <v>0.28048320789201059</v>
      </c>
      <c r="G50">
        <f t="shared" si="1"/>
        <v>5.6096641578402116</v>
      </c>
      <c r="H50">
        <f t="shared" si="4"/>
        <v>2.0624723748283778</v>
      </c>
      <c r="J50">
        <v>5.75</v>
      </c>
      <c r="K50">
        <f t="shared" si="2"/>
        <v>7.5937750637612045E-2</v>
      </c>
      <c r="L50">
        <f t="shared" si="3"/>
        <v>1.5187550127522409</v>
      </c>
      <c r="M50">
        <f t="shared" si="5"/>
        <v>0.33993343354253192</v>
      </c>
    </row>
    <row r="51" spans="5:13" x14ac:dyDescent="0.2">
      <c r="E51">
        <v>11.75</v>
      </c>
      <c r="F51">
        <f t="shared" si="0"/>
        <v>0.32056075366777376</v>
      </c>
      <c r="G51">
        <f t="shared" si="1"/>
        <v>6.4112150733554749</v>
      </c>
      <c r="H51">
        <f t="shared" si="4"/>
        <v>3.2062036620610534</v>
      </c>
      <c r="J51">
        <v>5.875</v>
      </c>
      <c r="K51">
        <f t="shared" si="2"/>
        <v>7.809475099890878E-2</v>
      </c>
      <c r="L51">
        <f t="shared" si="3"/>
        <v>1.5618950199781756</v>
      </c>
      <c r="M51">
        <f t="shared" si="5"/>
        <v>0.34512005780747756</v>
      </c>
    </row>
    <row r="52" spans="5:13" x14ac:dyDescent="0.2">
      <c r="E52">
        <v>12</v>
      </c>
      <c r="F52">
        <f t="shared" si="0"/>
        <v>0.5</v>
      </c>
      <c r="G52">
        <f t="shared" si="1"/>
        <v>10</v>
      </c>
      <c r="H52">
        <f t="shared" si="4"/>
        <v>14.3551397065781</v>
      </c>
      <c r="J52">
        <v>6</v>
      </c>
      <c r="K52">
        <f t="shared" si="2"/>
        <v>8.0285345657209517E-2</v>
      </c>
      <c r="L52">
        <f t="shared" si="3"/>
        <v>1.6057069131441903</v>
      </c>
      <c r="M52">
        <f t="shared" si="5"/>
        <v>0.35049514532811799</v>
      </c>
    </row>
    <row r="53" spans="5:13" x14ac:dyDescent="0.2">
      <c r="E53">
        <v>12.25</v>
      </c>
      <c r="F53">
        <f t="shared" si="0"/>
        <v>0.6794392463322263</v>
      </c>
      <c r="G53">
        <f t="shared" si="1"/>
        <v>13.588784926644525</v>
      </c>
      <c r="H53">
        <f t="shared" si="4"/>
        <v>14.3551397065781</v>
      </c>
      <c r="J53">
        <v>6.125</v>
      </c>
      <c r="K53">
        <f t="shared" si="2"/>
        <v>8.2510781183603277E-2</v>
      </c>
      <c r="L53">
        <f t="shared" si="3"/>
        <v>1.6502156236720655</v>
      </c>
      <c r="M53">
        <f t="shared" si="5"/>
        <v>0.35606968422300156</v>
      </c>
    </row>
    <row r="54" spans="5:13" x14ac:dyDescent="0.2">
      <c r="E54">
        <v>12.5</v>
      </c>
      <c r="F54">
        <f t="shared" si="0"/>
        <v>0.71951679210798947</v>
      </c>
      <c r="G54">
        <f t="shared" si="1"/>
        <v>14.390335842159789</v>
      </c>
      <c r="H54">
        <f t="shared" si="4"/>
        <v>3.206203662061057</v>
      </c>
      <c r="J54">
        <v>6.25</v>
      </c>
      <c r="K54">
        <f t="shared" si="2"/>
        <v>8.4772378402584891E-2</v>
      </c>
      <c r="L54">
        <f t="shared" si="3"/>
        <v>1.6954475680516978</v>
      </c>
      <c r="M54">
        <f t="shared" si="5"/>
        <v>0.36185555503705835</v>
      </c>
    </row>
    <row r="55" spans="5:13" x14ac:dyDescent="0.2">
      <c r="E55">
        <v>12.75</v>
      </c>
      <c r="F55">
        <f t="shared" si="0"/>
        <v>0.74529769679334412</v>
      </c>
      <c r="G55">
        <f t="shared" si="1"/>
        <v>14.905953935866883</v>
      </c>
      <c r="H55">
        <f t="shared" si="4"/>
        <v>2.0624723748283742</v>
      </c>
      <c r="J55">
        <v>6.375</v>
      </c>
      <c r="K55">
        <f t="shared" si="2"/>
        <v>8.7071538556156403E-2</v>
      </c>
      <c r="L55">
        <f t="shared" si="3"/>
        <v>1.7414307711231281</v>
      </c>
      <c r="M55">
        <f t="shared" si="5"/>
        <v>0.36786562457144178</v>
      </c>
    </row>
    <row r="56" spans="5:13" x14ac:dyDescent="0.2">
      <c r="E56">
        <v>13</v>
      </c>
      <c r="F56">
        <f t="shared" si="0"/>
        <v>0.76488058207811571</v>
      </c>
      <c r="G56">
        <f t="shared" si="1"/>
        <v>15.297611641562314</v>
      </c>
      <c r="H56">
        <f t="shared" si="4"/>
        <v>1.5666308227817254</v>
      </c>
      <c r="J56">
        <v>6.5</v>
      </c>
      <c r="K56">
        <f t="shared" si="2"/>
        <v>8.9409750130681642E-2</v>
      </c>
      <c r="L56">
        <f t="shared" si="3"/>
        <v>1.7881950026136328</v>
      </c>
      <c r="M56">
        <f t="shared" si="5"/>
        <v>0.37411385192403834</v>
      </c>
    </row>
    <row r="57" spans="5:13" x14ac:dyDescent="0.2">
      <c r="E57">
        <v>13.25</v>
      </c>
      <c r="F57">
        <f t="shared" si="0"/>
        <v>0.78090370876857162</v>
      </c>
      <c r="G57">
        <f t="shared" si="1"/>
        <v>15.618074175371433</v>
      </c>
      <c r="H57">
        <f t="shared" si="4"/>
        <v>1.2818501352364748</v>
      </c>
      <c r="J57">
        <v>6.625</v>
      </c>
      <c r="K57">
        <f t="shared" si="2"/>
        <v>9.1788596434742131E-2</v>
      </c>
      <c r="L57">
        <f t="shared" si="3"/>
        <v>1.8357719286948426</v>
      </c>
      <c r="M57">
        <f t="shared" si="5"/>
        <v>0.38061540864967824</v>
      </c>
    </row>
    <row r="58" spans="5:13" x14ac:dyDescent="0.2">
      <c r="E58">
        <v>13.5</v>
      </c>
      <c r="F58">
        <f t="shared" si="0"/>
        <v>0.79458377215879683</v>
      </c>
      <c r="G58">
        <f t="shared" si="1"/>
        <v>15.891675443175936</v>
      </c>
      <c r="H58">
        <f t="shared" si="4"/>
        <v>1.0944050712180129</v>
      </c>
      <c r="J58">
        <v>6.75</v>
      </c>
      <c r="K58">
        <f t="shared" si="2"/>
        <v>9.4209764030356469E-2</v>
      </c>
      <c r="L58">
        <f t="shared" si="3"/>
        <v>1.8841952806071294</v>
      </c>
      <c r="M58">
        <f t="shared" si="5"/>
        <v>0.387386815298294</v>
      </c>
    </row>
    <row r="59" spans="5:13" x14ac:dyDescent="0.2">
      <c r="E59">
        <v>13.75</v>
      </c>
      <c r="F59">
        <f t="shared" si="0"/>
        <v>0.80659025726019284</v>
      </c>
      <c r="G59">
        <f t="shared" si="1"/>
        <v>16.131805145203856</v>
      </c>
      <c r="H59">
        <f t="shared" si="4"/>
        <v>0.96051880811167933</v>
      </c>
      <c r="J59">
        <v>6.875</v>
      </c>
      <c r="K59">
        <f t="shared" si="2"/>
        <v>9.667505213670663E-2</v>
      </c>
      <c r="L59">
        <f t="shared" si="3"/>
        <v>1.9335010427341326</v>
      </c>
      <c r="M59">
        <f t="shared" si="5"/>
        <v>0.39444609701602573</v>
      </c>
    </row>
    <row r="60" spans="5:13" x14ac:dyDescent="0.2">
      <c r="E60">
        <v>14</v>
      </c>
      <c r="F60">
        <f t="shared" si="0"/>
        <v>0.81733408290787524</v>
      </c>
      <c r="G60">
        <f t="shared" si="1"/>
        <v>16.346681658157504</v>
      </c>
      <c r="H60">
        <f t="shared" si="4"/>
        <v>0.85950605181459139</v>
      </c>
      <c r="J60">
        <v>7</v>
      </c>
      <c r="K60">
        <f t="shared" si="2"/>
        <v>9.918638314551731E-2</v>
      </c>
      <c r="L60">
        <f t="shared" si="3"/>
        <v>1.9837276629103462</v>
      </c>
      <c r="M60">
        <f t="shared" si="5"/>
        <v>0.40181296140970879</v>
      </c>
    </row>
    <row r="61" spans="5:13" x14ac:dyDescent="0.2">
      <c r="E61">
        <v>14.25</v>
      </c>
      <c r="F61">
        <f t="shared" si="0"/>
        <v>0.82708706975608304</v>
      </c>
      <c r="G61">
        <f t="shared" si="1"/>
        <v>16.541741395121662</v>
      </c>
      <c r="H61">
        <f t="shared" si="4"/>
        <v>0.78023894785663117</v>
      </c>
      <c r="J61">
        <v>7.125</v>
      </c>
      <c r="K61">
        <f t="shared" si="2"/>
        <v>0.10174581441120545</v>
      </c>
      <c r="L61">
        <f t="shared" si="3"/>
        <v>2.034916288224109</v>
      </c>
      <c r="M61">
        <f t="shared" si="5"/>
        <v>0.40950900251010225</v>
      </c>
    </row>
    <row r="62" spans="5:13" x14ac:dyDescent="0.2">
      <c r="E62">
        <v>14.5</v>
      </c>
      <c r="F62">
        <f t="shared" si="0"/>
        <v>0.83603913182834466</v>
      </c>
      <c r="G62">
        <f t="shared" si="1"/>
        <v>16.720782636566895</v>
      </c>
      <c r="H62">
        <f t="shared" si="4"/>
        <v>0.71616496578093347</v>
      </c>
      <c r="J62">
        <v>7.25</v>
      </c>
      <c r="K62">
        <f t="shared" si="2"/>
        <v>0.10435555150774029</v>
      </c>
      <c r="L62">
        <f t="shared" si="3"/>
        <v>2.0871110301548059</v>
      </c>
      <c r="M62">
        <f t="shared" si="5"/>
        <v>0.41755793544557562</v>
      </c>
    </row>
    <row r="63" spans="5:13" x14ac:dyDescent="0.2">
      <c r="E63">
        <v>14.75</v>
      </c>
      <c r="F63">
        <f t="shared" si="0"/>
        <v>0.84432861679180404</v>
      </c>
      <c r="G63">
        <f t="shared" si="1"/>
        <v>16.886572335836082</v>
      </c>
      <c r="H63">
        <f t="shared" si="4"/>
        <v>0.66315879707674696</v>
      </c>
      <c r="J63">
        <v>7.375</v>
      </c>
      <c r="K63">
        <f t="shared" si="2"/>
        <v>0.10701796317899176</v>
      </c>
      <c r="L63">
        <f t="shared" si="3"/>
        <v>2.1403592635798354</v>
      </c>
      <c r="M63">
        <f t="shared" si="5"/>
        <v>0.42598586740023592</v>
      </c>
    </row>
    <row r="64" spans="5:13" x14ac:dyDescent="0.2">
      <c r="E64">
        <v>15</v>
      </c>
      <c r="F64">
        <f t="shared" si="0"/>
        <v>0.85205968692557521</v>
      </c>
      <c r="G64">
        <f t="shared" si="1"/>
        <v>17.041193738511502</v>
      </c>
      <c r="H64">
        <f t="shared" si="4"/>
        <v>0.61848561070168273</v>
      </c>
      <c r="J64">
        <v>7.5</v>
      </c>
      <c r="K64">
        <f t="shared" si="2"/>
        <v>0.10973559825163398</v>
      </c>
      <c r="L64">
        <f t="shared" si="3"/>
        <v>2.1947119650326794</v>
      </c>
      <c r="M64">
        <f t="shared" si="5"/>
        <v>0.4348216116227519</v>
      </c>
    </row>
    <row r="65" spans="5:13" x14ac:dyDescent="0.2">
      <c r="E65">
        <v>15.25</v>
      </c>
      <c r="F65">
        <f t="shared" si="0"/>
        <v>0.85931289003438649</v>
      </c>
      <c r="G65">
        <f t="shared" si="1"/>
        <v>17.186257800687731</v>
      </c>
      <c r="H65">
        <f t="shared" si="4"/>
        <v>0.58025624870491299</v>
      </c>
      <c r="J65">
        <v>7.625</v>
      </c>
      <c r="K65">
        <f t="shared" si="2"/>
        <v>0.11251120483127319</v>
      </c>
      <c r="L65">
        <f t="shared" si="3"/>
        <v>2.2502240966254639</v>
      </c>
      <c r="M65">
        <f t="shared" si="5"/>
        <v>0.44409705274227562</v>
      </c>
    </row>
    <row r="66" spans="5:13" x14ac:dyDescent="0.2">
      <c r="E66">
        <v>15.5</v>
      </c>
      <c r="F66">
        <f t="shared" si="0"/>
        <v>0.86615190471937398</v>
      </c>
      <c r="G66">
        <f t="shared" si="1"/>
        <v>17.323038094387478</v>
      </c>
      <c r="H66">
        <f t="shared" si="4"/>
        <v>0.54712117479898836</v>
      </c>
      <c r="J66">
        <v>7.75</v>
      </c>
      <c r="K66">
        <f t="shared" si="2"/>
        <v>0.11534775216576632</v>
      </c>
      <c r="L66">
        <f t="shared" si="3"/>
        <v>2.3069550433153263</v>
      </c>
      <c r="M66">
        <f t="shared" si="5"/>
        <v>0.45384757351889959</v>
      </c>
    </row>
    <row r="67" spans="5:13" x14ac:dyDescent="0.2">
      <c r="E67">
        <v>15.75</v>
      </c>
      <c r="F67">
        <f t="shared" si="0"/>
        <v>0.87262801757200292</v>
      </c>
      <c r="G67">
        <f t="shared" si="1"/>
        <v>17.452560351440059</v>
      </c>
      <c r="H67">
        <f t="shared" si="4"/>
        <v>0.51808902821032632</v>
      </c>
      <c r="J67">
        <v>7.875</v>
      </c>
      <c r="K67">
        <f t="shared" si="2"/>
        <v>0.11824845563776326</v>
      </c>
      <c r="L67">
        <f t="shared" si="3"/>
        <v>2.364969112755265</v>
      </c>
      <c r="M67">
        <f t="shared" si="5"/>
        <v>0.46411255551950958</v>
      </c>
    </row>
    <row r="68" spans="5:13" x14ac:dyDescent="0.2">
      <c r="E68">
        <v>16</v>
      </c>
      <c r="F68">
        <f t="shared" si="0"/>
        <v>0.87878319455464005</v>
      </c>
      <c r="G68">
        <f t="shared" si="1"/>
        <v>17.575663891092802</v>
      </c>
      <c r="H68">
        <f t="shared" si="4"/>
        <v>0.49241415861096982</v>
      </c>
      <c r="J68">
        <v>8</v>
      </c>
      <c r="K68">
        <f t="shared" si="2"/>
        <v>0.12121680544535995</v>
      </c>
      <c r="L68">
        <f t="shared" si="3"/>
        <v>2.4243361089071991</v>
      </c>
      <c r="M68">
        <f t="shared" si="5"/>
        <v>0.47493596921547265</v>
      </c>
    </row>
    <row r="69" spans="5:13" x14ac:dyDescent="0.2">
      <c r="E69">
        <v>16.25</v>
      </c>
      <c r="F69">
        <f t="shared" ref="F69:F100" si="6">0.5+(E69-12)/24*(24.024/(2*ABS(E69-12)+0.04))^0.75</f>
        <v>0.88465224783423368</v>
      </c>
      <c r="G69">
        <f t="shared" ref="G69:G100" si="7">F69*$F$2</f>
        <v>17.693044956684673</v>
      </c>
      <c r="H69">
        <f t="shared" si="4"/>
        <v>0.46952426236748579</v>
      </c>
      <c r="J69">
        <v>8.125</v>
      </c>
      <c r="K69">
        <f t="shared" ref="K69:K132" si="8">0.5+(J69-12)/24*(24.024/(2*ABS(J69-12)+0.04))^0.75</f>
        <v>0.12425659965066355</v>
      </c>
      <c r="L69">
        <f t="shared" ref="L69:L132" si="9">K69*$F$2</f>
        <v>2.4851319930132707</v>
      </c>
      <c r="M69">
        <f t="shared" si="5"/>
        <v>0.48636707284857295</v>
      </c>
    </row>
    <row r="70" spans="5:13" x14ac:dyDescent="0.2">
      <c r="E70">
        <v>16.5</v>
      </c>
      <c r="F70">
        <f t="shared" si="6"/>
        <v>0.89026440174836607</v>
      </c>
      <c r="G70">
        <f t="shared" si="7"/>
        <v>17.805288034967322</v>
      </c>
      <c r="H70">
        <f t="shared" ref="H70:H100" si="10">(G70-G69)/(E70-E69)</f>
        <v>0.44897231313059649</v>
      </c>
      <c r="J70">
        <v>8.25</v>
      </c>
      <c r="K70">
        <f t="shared" si="8"/>
        <v>0.12737198242799708</v>
      </c>
      <c r="L70">
        <f t="shared" si="9"/>
        <v>2.5474396485599415</v>
      </c>
      <c r="M70">
        <f t="shared" ref="M70:M100" si="11">(L70-L69)/(J70-J69)</f>
        <v>0.4984612443733667</v>
      </c>
    </row>
    <row r="71" spans="5:13" x14ac:dyDescent="0.2">
      <c r="E71">
        <v>16.75</v>
      </c>
      <c r="F71">
        <f t="shared" si="6"/>
        <v>0.89564444849225966</v>
      </c>
      <c r="G71">
        <f t="shared" si="7"/>
        <v>17.912888969845191</v>
      </c>
      <c r="H71">
        <f t="shared" si="10"/>
        <v>0.43040373951147615</v>
      </c>
      <c r="J71">
        <v>8.375</v>
      </c>
      <c r="K71">
        <f t="shared" si="8"/>
        <v>0.13056748853571098</v>
      </c>
      <c r="L71">
        <f t="shared" si="9"/>
        <v>2.6113497707142197</v>
      </c>
      <c r="M71">
        <f t="shared" si="11"/>
        <v>0.51128097723422528</v>
      </c>
    </row>
    <row r="72" spans="5:13" x14ac:dyDescent="0.2">
      <c r="E72">
        <v>17</v>
      </c>
      <c r="F72">
        <f t="shared" si="6"/>
        <v>0.90081361685448269</v>
      </c>
      <c r="G72">
        <f t="shared" si="7"/>
        <v>18.016272337089653</v>
      </c>
      <c r="H72">
        <f t="shared" si="10"/>
        <v>0.41353346897784604</v>
      </c>
      <c r="J72">
        <v>8.5</v>
      </c>
      <c r="K72">
        <f t="shared" si="8"/>
        <v>0.13384809528062608</v>
      </c>
      <c r="L72">
        <f t="shared" si="9"/>
        <v>2.6769619056125213</v>
      </c>
      <c r="M72">
        <f t="shared" si="11"/>
        <v>0.52489707918641315</v>
      </c>
    </row>
    <row r="73" spans="5:13" x14ac:dyDescent="0.2">
      <c r="E73">
        <v>17.25</v>
      </c>
      <c r="F73">
        <f t="shared" si="6"/>
        <v>0.90579023596964348</v>
      </c>
      <c r="G73">
        <f t="shared" si="7"/>
        <v>18.11580471939287</v>
      </c>
      <c r="H73">
        <f t="shared" si="10"/>
        <v>0.39812952921286637</v>
      </c>
      <c r="J73">
        <v>8.625</v>
      </c>
      <c r="K73">
        <f t="shared" si="8"/>
        <v>0.13721928355897245</v>
      </c>
      <c r="L73">
        <f t="shared" si="9"/>
        <v>2.7443856711794492</v>
      </c>
      <c r="M73">
        <f t="shared" si="11"/>
        <v>0.5393901245354229</v>
      </c>
    </row>
    <row r="74" spans="5:13" x14ac:dyDescent="0.2">
      <c r="E74">
        <v>17.5</v>
      </c>
      <c r="F74">
        <f t="shared" si="6"/>
        <v>0.91059024986931836</v>
      </c>
      <c r="G74">
        <f t="shared" si="7"/>
        <v>18.211804997386366</v>
      </c>
      <c r="H74">
        <f t="shared" si="10"/>
        <v>0.38400111197398701</v>
      </c>
      <c r="J74">
        <v>8.75</v>
      </c>
      <c r="K74">
        <f t="shared" si="8"/>
        <v>0.14068710996561351</v>
      </c>
      <c r="L74">
        <f t="shared" si="9"/>
        <v>2.8137421993122702</v>
      </c>
      <c r="M74">
        <f t="shared" si="11"/>
        <v>0.55485222506256804</v>
      </c>
    </row>
    <row r="75" spans="5:13" x14ac:dyDescent="0.2">
      <c r="E75">
        <v>17.75</v>
      </c>
      <c r="F75">
        <f t="shared" si="6"/>
        <v>0.91522762159741511</v>
      </c>
      <c r="G75">
        <f t="shared" si="7"/>
        <v>18.304552431948302</v>
      </c>
      <c r="H75">
        <f t="shared" si="10"/>
        <v>0.37098973824774362</v>
      </c>
      <c r="J75">
        <v>8.875</v>
      </c>
      <c r="K75">
        <f t="shared" si="8"/>
        <v>0.1442582924966459</v>
      </c>
      <c r="L75">
        <f t="shared" si="9"/>
        <v>2.885165849932918</v>
      </c>
      <c r="M75">
        <f t="shared" si="11"/>
        <v>0.57138920496518253</v>
      </c>
    </row>
    <row r="76" spans="5:13" x14ac:dyDescent="0.2">
      <c r="E76">
        <v>18</v>
      </c>
      <c r="F76">
        <f t="shared" si="6"/>
        <v>0.91971465434279054</v>
      </c>
      <c r="G76">
        <f t="shared" si="7"/>
        <v>18.394293086855811</v>
      </c>
      <c r="H76">
        <f t="shared" si="10"/>
        <v>0.3589626196300344</v>
      </c>
      <c r="J76">
        <v>9</v>
      </c>
      <c r="K76">
        <f t="shared" si="8"/>
        <v>0.14794031307442485</v>
      </c>
      <c r="L76">
        <f t="shared" si="9"/>
        <v>2.9588062614884967</v>
      </c>
      <c r="M76">
        <f t="shared" si="11"/>
        <v>0.58912329244462924</v>
      </c>
    </row>
    <row r="77" spans="5:13" x14ac:dyDescent="0.2">
      <c r="E77">
        <v>18.25</v>
      </c>
      <c r="F77">
        <f t="shared" si="6"/>
        <v>0.92406224936238801</v>
      </c>
      <c r="G77">
        <f t="shared" si="7"/>
        <v>18.481244987247759</v>
      </c>
      <c r="H77">
        <f t="shared" si="10"/>
        <v>0.34780760156779422</v>
      </c>
      <c r="J77">
        <v>9.125</v>
      </c>
      <c r="K77">
        <f t="shared" si="8"/>
        <v>0.15174154106298404</v>
      </c>
      <c r="L77">
        <f t="shared" si="9"/>
        <v>3.0348308212596811</v>
      </c>
      <c r="M77">
        <f t="shared" si="11"/>
        <v>0.60819647816947509</v>
      </c>
    </row>
    <row r="78" spans="5:13" x14ac:dyDescent="0.2">
      <c r="E78">
        <v>18.5</v>
      </c>
      <c r="F78">
        <f t="shared" si="6"/>
        <v>0.92828011515705766</v>
      </c>
      <c r="G78">
        <f t="shared" si="7"/>
        <v>18.565602303141155</v>
      </c>
      <c r="H78">
        <f t="shared" si="10"/>
        <v>0.33742926357358272</v>
      </c>
      <c r="J78">
        <v>9.25</v>
      </c>
      <c r="K78">
        <f t="shared" si="8"/>
        <v>0.15567138320819596</v>
      </c>
      <c r="L78">
        <f t="shared" si="9"/>
        <v>3.1134276641639191</v>
      </c>
      <c r="M78">
        <f t="shared" si="11"/>
        <v>0.62877474323390459</v>
      </c>
    </row>
    <row r="79" spans="5:13" x14ac:dyDescent="0.2">
      <c r="E79">
        <v>18.75</v>
      </c>
      <c r="F79">
        <f t="shared" si="6"/>
        <v>0.93237693862639426</v>
      </c>
      <c r="G79">
        <f t="shared" si="7"/>
        <v>18.647538772527884</v>
      </c>
      <c r="H79">
        <f t="shared" si="10"/>
        <v>0.32774587754691709</v>
      </c>
      <c r="J79">
        <v>9.375</v>
      </c>
      <c r="K79">
        <f t="shared" si="8"/>
        <v>0.15974046716580409</v>
      </c>
      <c r="L79">
        <f t="shared" si="9"/>
        <v>3.1948093433160816</v>
      </c>
      <c r="M79">
        <f t="shared" si="11"/>
        <v>0.65105343321729947</v>
      </c>
    </row>
    <row r="80" spans="5:13" x14ac:dyDescent="0.2">
      <c r="E80">
        <v>19</v>
      </c>
      <c r="F80">
        <f t="shared" si="6"/>
        <v>0.93636052626028321</v>
      </c>
      <c r="G80">
        <f t="shared" si="7"/>
        <v>18.727210525205663</v>
      </c>
      <c r="H80">
        <f t="shared" si="10"/>
        <v>0.31868701071111616</v>
      </c>
      <c r="J80">
        <v>9.5</v>
      </c>
      <c r="K80">
        <f t="shared" si="8"/>
        <v>0.16396086817165539</v>
      </c>
      <c r="L80">
        <f t="shared" si="9"/>
        <v>3.2792173634331077</v>
      </c>
      <c r="M80">
        <f t="shared" si="11"/>
        <v>0.67526416093620867</v>
      </c>
    </row>
    <row r="81" spans="5:13" x14ac:dyDescent="0.2">
      <c r="E81">
        <v>19.25</v>
      </c>
      <c r="F81">
        <f t="shared" si="6"/>
        <v>0.94023792149143604</v>
      </c>
      <c r="G81">
        <f t="shared" si="7"/>
        <v>18.80475842982872</v>
      </c>
      <c r="H81">
        <f t="shared" si="10"/>
        <v>0.31019161849222598</v>
      </c>
      <c r="J81">
        <v>9.625</v>
      </c>
      <c r="K81">
        <f t="shared" si="8"/>
        <v>0.16834639176339167</v>
      </c>
      <c r="L81">
        <f t="shared" si="9"/>
        <v>3.3669278352678331</v>
      </c>
      <c r="M81">
        <f t="shared" si="11"/>
        <v>0.70168377467780374</v>
      </c>
    </row>
    <row r="82" spans="5:13" x14ac:dyDescent="0.2">
      <c r="E82">
        <v>19.5</v>
      </c>
      <c r="F82">
        <f t="shared" si="6"/>
        <v>0.9440155029141446</v>
      </c>
      <c r="G82">
        <f t="shared" si="7"/>
        <v>18.880310058282891</v>
      </c>
      <c r="H82">
        <f t="shared" si="10"/>
        <v>0.30220651381668517</v>
      </c>
      <c r="J82">
        <v>9.75</v>
      </c>
      <c r="K82">
        <f t="shared" si="8"/>
        <v>0.17291293024391691</v>
      </c>
      <c r="L82">
        <f t="shared" si="9"/>
        <v>3.4582586048783384</v>
      </c>
      <c r="M82">
        <f t="shared" si="11"/>
        <v>0.73064615688404189</v>
      </c>
    </row>
    <row r="83" spans="5:13" x14ac:dyDescent="0.2">
      <c r="E83">
        <v>19.75</v>
      </c>
      <c r="F83">
        <f t="shared" si="6"/>
        <v>0.94769906702044016</v>
      </c>
      <c r="G83">
        <f t="shared" si="7"/>
        <v>18.953981340408802</v>
      </c>
      <c r="H83">
        <f t="shared" si="10"/>
        <v>0.29468512850364448</v>
      </c>
      <c r="J83">
        <v>9.875</v>
      </c>
      <c r="K83">
        <f t="shared" si="8"/>
        <v>0.17767891750795856</v>
      </c>
      <c r="L83">
        <f t="shared" si="9"/>
        <v>3.5535783501591709</v>
      </c>
      <c r="M83">
        <f t="shared" si="11"/>
        <v>0.76255796224666028</v>
      </c>
    </row>
    <row r="84" spans="5:13" x14ac:dyDescent="0.2">
      <c r="E84">
        <v>20</v>
      </c>
      <c r="F84">
        <f t="shared" si="6"/>
        <v>0.95129389831319089</v>
      </c>
      <c r="G84">
        <f t="shared" si="7"/>
        <v>19.025877966263817</v>
      </c>
      <c r="H84">
        <f t="shared" si="10"/>
        <v>0.28758650342005865</v>
      </c>
      <c r="J84">
        <v>10</v>
      </c>
      <c r="K84">
        <f t="shared" si="8"/>
        <v>0.18266591709212482</v>
      </c>
      <c r="L84">
        <f t="shared" si="9"/>
        <v>3.6533183418424962</v>
      </c>
      <c r="M84">
        <f t="shared" si="11"/>
        <v>0.79791993346660206</v>
      </c>
    </row>
    <row r="85" spans="5:13" x14ac:dyDescent="0.2">
      <c r="E85">
        <v>20.25</v>
      </c>
      <c r="F85">
        <f t="shared" si="6"/>
        <v>0.95480482905497688</v>
      </c>
      <c r="G85">
        <f t="shared" si="7"/>
        <v>19.096096581099538</v>
      </c>
      <c r="H85">
        <f t="shared" si="10"/>
        <v>0.28087445934288269</v>
      </c>
      <c r="J85">
        <v>10.125</v>
      </c>
      <c r="K85">
        <f t="shared" si="8"/>
        <v>0.18789939375457027</v>
      </c>
      <c r="L85">
        <f t="shared" si="9"/>
        <v>3.7579878750914055</v>
      </c>
      <c r="M85">
        <f t="shared" si="11"/>
        <v>0.837356265991275</v>
      </c>
    </row>
    <row r="86" spans="5:13" x14ac:dyDescent="0.2">
      <c r="E86">
        <v>20.5</v>
      </c>
      <c r="F86">
        <f t="shared" si="6"/>
        <v>0.95823629045138081</v>
      </c>
      <c r="G86">
        <f t="shared" si="7"/>
        <v>19.164725809027615</v>
      </c>
      <c r="H86">
        <f t="shared" si="10"/>
        <v>0.27451691171231118</v>
      </c>
      <c r="J86">
        <v>10.25</v>
      </c>
      <c r="K86">
        <f t="shared" si="8"/>
        <v>0.1934097427398071</v>
      </c>
      <c r="L86">
        <f t="shared" si="9"/>
        <v>3.8681948547961422</v>
      </c>
      <c r="M86">
        <f t="shared" si="11"/>
        <v>0.88165583763789357</v>
      </c>
    </row>
    <row r="87" spans="5:13" x14ac:dyDescent="0.2">
      <c r="E87">
        <v>20.75</v>
      </c>
      <c r="F87">
        <f t="shared" si="6"/>
        <v>0.96159235671164223</v>
      </c>
      <c r="G87">
        <f t="shared" si="7"/>
        <v>19.231847134232844</v>
      </c>
      <c r="H87">
        <f t="shared" si="10"/>
        <v>0.26848530082091315</v>
      </c>
      <c r="J87">
        <v>10.375</v>
      </c>
      <c r="K87">
        <f t="shared" si="8"/>
        <v>0.19923368868552394</v>
      </c>
      <c r="L87">
        <f t="shared" si="9"/>
        <v>3.9846737737104787</v>
      </c>
      <c r="M87">
        <f t="shared" si="11"/>
        <v>0.93183135131469186</v>
      </c>
    </row>
    <row r="88" spans="5:13" x14ac:dyDescent="0.2">
      <c r="E88">
        <v>21</v>
      </c>
      <c r="F88">
        <f t="shared" si="6"/>
        <v>0.96487678315239189</v>
      </c>
      <c r="G88">
        <f t="shared" si="7"/>
        <v>19.297535663047839</v>
      </c>
      <c r="H88">
        <f t="shared" si="10"/>
        <v>0.26275411525998038</v>
      </c>
      <c r="J88">
        <v>10.5</v>
      </c>
      <c r="K88">
        <f t="shared" si="8"/>
        <v>0.20541622784120317</v>
      </c>
      <c r="L88">
        <f t="shared" si="9"/>
        <v>4.1083245568240638</v>
      </c>
      <c r="M88">
        <f t="shared" si="11"/>
        <v>0.98920626490868102</v>
      </c>
    </row>
    <row r="89" spans="5:13" x14ac:dyDescent="0.2">
      <c r="E89">
        <v>21.25</v>
      </c>
      <c r="F89">
        <f t="shared" si="6"/>
        <v>0.96809303929240542</v>
      </c>
      <c r="G89">
        <f t="shared" si="7"/>
        <v>19.361860785848108</v>
      </c>
      <c r="H89">
        <f t="shared" si="10"/>
        <v>0.25730049120107878</v>
      </c>
      <c r="J89">
        <v>10.625</v>
      </c>
      <c r="K89">
        <f t="shared" si="8"/>
        <v>0.21201339147190323</v>
      </c>
      <c r="L89">
        <f t="shared" si="9"/>
        <v>4.2402678294380642</v>
      </c>
      <c r="M89">
        <f t="shared" si="11"/>
        <v>1.0555461809120033</v>
      </c>
    </row>
    <row r="90" spans="5:13" x14ac:dyDescent="0.2">
      <c r="E90">
        <v>21.5</v>
      </c>
      <c r="F90">
        <f t="shared" si="6"/>
        <v>0.97124433771400831</v>
      </c>
      <c r="G90">
        <f t="shared" si="7"/>
        <v>19.424886754280166</v>
      </c>
      <c r="H90">
        <f t="shared" si="10"/>
        <v>0.25210387372823106</v>
      </c>
      <c r="J90">
        <v>10.75</v>
      </c>
      <c r="K90">
        <f t="shared" si="8"/>
        <v>0.21909629123142838</v>
      </c>
      <c r="L90">
        <f t="shared" si="9"/>
        <v>4.3819258246285671</v>
      </c>
      <c r="M90">
        <f t="shared" si="11"/>
        <v>1.1332639615240225</v>
      </c>
    </row>
    <row r="91" spans="5:13" x14ac:dyDescent="0.2">
      <c r="E91">
        <v>21.75</v>
      </c>
      <c r="F91">
        <f t="shared" si="6"/>
        <v>0.97433365932946359</v>
      </c>
      <c r="G91">
        <f t="shared" si="7"/>
        <v>19.486673186589272</v>
      </c>
      <c r="H91">
        <f t="shared" si="10"/>
        <v>0.24714572923642208</v>
      </c>
      <c r="J91">
        <v>10.875</v>
      </c>
      <c r="K91">
        <f t="shared" si="8"/>
        <v>0.22675724319584711</v>
      </c>
      <c r="L91">
        <f t="shared" si="9"/>
        <v>4.5351448639169423</v>
      </c>
      <c r="M91">
        <f t="shared" si="11"/>
        <v>1.2257523143070017</v>
      </c>
    </row>
    <row r="92" spans="5:13" x14ac:dyDescent="0.2">
      <c r="E92">
        <v>22</v>
      </c>
      <c r="F92">
        <f t="shared" si="6"/>
        <v>0.9773637755805662</v>
      </c>
      <c r="G92">
        <f t="shared" si="7"/>
        <v>19.547275511611325</v>
      </c>
      <c r="H92">
        <f t="shared" si="10"/>
        <v>0.24240930008821238</v>
      </c>
      <c r="J92">
        <v>11</v>
      </c>
      <c r="K92">
        <f t="shared" si="8"/>
        <v>0.23511941792188423</v>
      </c>
      <c r="L92">
        <f t="shared" si="9"/>
        <v>4.7023883584376849</v>
      </c>
      <c r="M92">
        <f t="shared" si="11"/>
        <v>1.3379479561659409</v>
      </c>
    </row>
    <row r="93" spans="5:13" x14ac:dyDescent="0.2">
      <c r="E93">
        <v>22.25</v>
      </c>
      <c r="F93">
        <f t="shared" si="6"/>
        <v>0.98033726801083265</v>
      </c>
      <c r="G93">
        <f t="shared" si="7"/>
        <v>19.606745360216653</v>
      </c>
      <c r="H93">
        <f t="shared" si="10"/>
        <v>0.2378793944213129</v>
      </c>
      <c r="J93">
        <v>11.125</v>
      </c>
      <c r="K93">
        <f t="shared" si="8"/>
        <v>0.24435280763388123</v>
      </c>
      <c r="L93">
        <f t="shared" si="9"/>
        <v>4.8870561526776246</v>
      </c>
      <c r="M93">
        <f t="shared" si="11"/>
        <v>1.4773423539195178</v>
      </c>
    </row>
    <row r="94" spans="5:13" x14ac:dyDescent="0.2">
      <c r="E94">
        <v>22.5</v>
      </c>
      <c r="F94">
        <f t="shared" si="6"/>
        <v>0.98325654557756437</v>
      </c>
      <c r="G94">
        <f t="shared" si="7"/>
        <v>19.665130911551287</v>
      </c>
      <c r="H94">
        <f t="shared" si="10"/>
        <v>0.2335422053385372</v>
      </c>
      <c r="J94">
        <v>11.25</v>
      </c>
      <c r="K94">
        <f t="shared" si="8"/>
        <v>0.25470230320665588</v>
      </c>
      <c r="L94">
        <f t="shared" si="9"/>
        <v>5.0940460641331171</v>
      </c>
      <c r="M94">
        <f t="shared" si="11"/>
        <v>1.65591929164394</v>
      </c>
    </row>
    <row r="95" spans="5:13" x14ac:dyDescent="0.2">
      <c r="E95">
        <v>22.75</v>
      </c>
      <c r="F95">
        <f t="shared" si="6"/>
        <v>0.98612386001222441</v>
      </c>
      <c r="G95">
        <f t="shared" si="7"/>
        <v>19.722477200244487</v>
      </c>
      <c r="H95">
        <f t="shared" si="10"/>
        <v>0.22938515477279964</v>
      </c>
      <c r="J95">
        <v>11.375</v>
      </c>
      <c r="K95">
        <f t="shared" si="8"/>
        <v>0.26654107452180137</v>
      </c>
      <c r="L95">
        <f t="shared" si="9"/>
        <v>5.3308214904360272</v>
      </c>
      <c r="M95">
        <f t="shared" si="11"/>
        <v>1.8942034104232803</v>
      </c>
    </row>
    <row r="96" spans="5:13" x14ac:dyDescent="0.2">
      <c r="E96">
        <v>23</v>
      </c>
      <c r="F96">
        <f t="shared" si="6"/>
        <v>0.98894131948930197</v>
      </c>
      <c r="G96">
        <f t="shared" si="7"/>
        <v>19.77882638978604</v>
      </c>
      <c r="H96">
        <f t="shared" si="10"/>
        <v>0.22539675816621241</v>
      </c>
      <c r="J96">
        <v>11.5</v>
      </c>
      <c r="K96">
        <f t="shared" si="8"/>
        <v>0.28048320789201059</v>
      </c>
      <c r="L96">
        <f t="shared" si="9"/>
        <v>5.6096641578402116</v>
      </c>
      <c r="M96">
        <f t="shared" si="11"/>
        <v>2.2307413392334752</v>
      </c>
    </row>
    <row r="97" spans="5:13" x14ac:dyDescent="0.2">
      <c r="E97">
        <v>23.25</v>
      </c>
      <c r="F97">
        <f t="shared" si="6"/>
        <v>0.99171090082404434</v>
      </c>
      <c r="G97">
        <f t="shared" si="7"/>
        <v>19.834218016480886</v>
      </c>
      <c r="H97">
        <f t="shared" si="10"/>
        <v>0.22156650677938217</v>
      </c>
      <c r="J97">
        <v>11.625</v>
      </c>
      <c r="K97">
        <f t="shared" si="8"/>
        <v>0.29765909088508735</v>
      </c>
      <c r="L97">
        <f t="shared" si="9"/>
        <v>5.953181817701747</v>
      </c>
      <c r="M97">
        <f t="shared" si="11"/>
        <v>2.7481412788922839</v>
      </c>
    </row>
    <row r="98" spans="5:13" x14ac:dyDescent="0.2">
      <c r="E98">
        <v>23.5</v>
      </c>
      <c r="F98">
        <f t="shared" si="6"/>
        <v>0.99443446038647321</v>
      </c>
      <c r="G98">
        <f t="shared" si="7"/>
        <v>19.888689207729463</v>
      </c>
      <c r="H98">
        <f t="shared" si="10"/>
        <v>0.21788476499430942</v>
      </c>
      <c r="J98">
        <v>11.75</v>
      </c>
      <c r="K98">
        <f t="shared" si="8"/>
        <v>0.32056075366777376</v>
      </c>
      <c r="L98">
        <f t="shared" si="9"/>
        <v>6.4112150733554749</v>
      </c>
      <c r="M98">
        <f t="shared" si="11"/>
        <v>3.664266045229823</v>
      </c>
    </row>
    <row r="99" spans="5:13" x14ac:dyDescent="0.2">
      <c r="E99">
        <v>23.75</v>
      </c>
      <c r="F99">
        <f t="shared" si="6"/>
        <v>0.99711374389169105</v>
      </c>
      <c r="G99">
        <f t="shared" si="7"/>
        <v>19.942274877833821</v>
      </c>
      <c r="H99">
        <f t="shared" si="10"/>
        <v>0.2143426804174311</v>
      </c>
      <c r="J99">
        <v>11.875</v>
      </c>
      <c r="K99">
        <f t="shared" si="8"/>
        <v>0.35698412015433378</v>
      </c>
      <c r="L99">
        <f t="shared" si="9"/>
        <v>7.1396824030866757</v>
      </c>
      <c r="M99">
        <f t="shared" si="11"/>
        <v>5.8277386378496061</v>
      </c>
    </row>
    <row r="100" spans="5:13" x14ac:dyDescent="0.2">
      <c r="E100">
        <v>24</v>
      </c>
      <c r="F100">
        <f t="shared" si="6"/>
        <v>0.99975039520355524</v>
      </c>
      <c r="G100">
        <f t="shared" si="7"/>
        <v>19.995007904071105</v>
      </c>
      <c r="H100">
        <f t="shared" si="10"/>
        <v>0.21093210494913706</v>
      </c>
      <c r="J100">
        <v>12</v>
      </c>
      <c r="K100" s="2">
        <f t="shared" si="8"/>
        <v>0.5</v>
      </c>
      <c r="L100" s="2">
        <f t="shared" si="9"/>
        <v>10</v>
      </c>
      <c r="M100" s="2">
        <f t="shared" si="11"/>
        <v>22.882540775306595</v>
      </c>
    </row>
    <row r="101" spans="5:13" x14ac:dyDescent="0.2">
      <c r="J101">
        <v>12.125</v>
      </c>
      <c r="K101" s="2">
        <f t="shared" si="8"/>
        <v>0.64301587984566622</v>
      </c>
      <c r="L101" s="2">
        <f t="shared" si="9"/>
        <v>12.860317596913324</v>
      </c>
      <c r="M101" s="2">
        <f t="shared" ref="M101:M164" si="12">(L101-L100)/(J101-J100)</f>
        <v>22.882540775306595</v>
      </c>
    </row>
    <row r="102" spans="5:13" x14ac:dyDescent="0.2">
      <c r="J102">
        <v>12.25</v>
      </c>
      <c r="K102">
        <f t="shared" si="8"/>
        <v>0.6794392463322263</v>
      </c>
      <c r="L102">
        <f t="shared" si="9"/>
        <v>13.588784926644525</v>
      </c>
      <c r="M102">
        <f t="shared" si="12"/>
        <v>5.8277386378496061</v>
      </c>
    </row>
    <row r="103" spans="5:13" x14ac:dyDescent="0.2">
      <c r="J103">
        <v>12.375</v>
      </c>
      <c r="K103">
        <f t="shared" si="8"/>
        <v>0.70234090911491265</v>
      </c>
      <c r="L103">
        <f t="shared" si="9"/>
        <v>14.046818182298253</v>
      </c>
      <c r="M103">
        <f t="shared" si="12"/>
        <v>3.664266045229823</v>
      </c>
    </row>
    <row r="104" spans="5:13" x14ac:dyDescent="0.2">
      <c r="J104">
        <v>12.5</v>
      </c>
      <c r="K104">
        <f t="shared" si="8"/>
        <v>0.71951679210798947</v>
      </c>
      <c r="L104">
        <f t="shared" si="9"/>
        <v>14.390335842159789</v>
      </c>
      <c r="M104">
        <f t="shared" si="12"/>
        <v>2.748141278892291</v>
      </c>
    </row>
    <row r="105" spans="5:13" x14ac:dyDescent="0.2">
      <c r="J105">
        <v>12.625</v>
      </c>
      <c r="K105">
        <f t="shared" si="8"/>
        <v>0.73345892547819869</v>
      </c>
      <c r="L105">
        <f t="shared" si="9"/>
        <v>14.669178509563974</v>
      </c>
      <c r="M105">
        <f t="shared" si="12"/>
        <v>2.2307413392334752</v>
      </c>
    </row>
    <row r="106" spans="5:13" x14ac:dyDescent="0.2">
      <c r="J106">
        <v>12.75</v>
      </c>
      <c r="K106">
        <f t="shared" si="8"/>
        <v>0.74529769679334412</v>
      </c>
      <c r="L106">
        <f t="shared" si="9"/>
        <v>14.905953935866883</v>
      </c>
      <c r="M106">
        <f t="shared" si="12"/>
        <v>1.8942034104232732</v>
      </c>
    </row>
    <row r="107" spans="5:13" x14ac:dyDescent="0.2">
      <c r="J107">
        <v>12.875</v>
      </c>
      <c r="K107">
        <f t="shared" si="8"/>
        <v>0.75564719236611877</v>
      </c>
      <c r="L107">
        <f t="shared" si="9"/>
        <v>15.112943847322375</v>
      </c>
      <c r="M107">
        <f t="shared" si="12"/>
        <v>1.65591929164394</v>
      </c>
    </row>
    <row r="108" spans="5:13" x14ac:dyDescent="0.2">
      <c r="J108">
        <v>13</v>
      </c>
      <c r="K108">
        <f t="shared" si="8"/>
        <v>0.76488058207811571</v>
      </c>
      <c r="L108">
        <f t="shared" si="9"/>
        <v>15.297611641562314</v>
      </c>
      <c r="M108">
        <f t="shared" si="12"/>
        <v>1.4773423539195107</v>
      </c>
    </row>
    <row r="109" spans="5:13" x14ac:dyDescent="0.2">
      <c r="J109">
        <v>13.125</v>
      </c>
      <c r="K109">
        <f t="shared" si="8"/>
        <v>0.77324275680415289</v>
      </c>
      <c r="L109">
        <f t="shared" si="9"/>
        <v>15.464855136083058</v>
      </c>
      <c r="M109">
        <f t="shared" si="12"/>
        <v>1.337947956165948</v>
      </c>
    </row>
    <row r="110" spans="5:13" x14ac:dyDescent="0.2">
      <c r="J110">
        <v>13.25</v>
      </c>
      <c r="K110">
        <f t="shared" si="8"/>
        <v>0.78090370876857162</v>
      </c>
      <c r="L110">
        <f t="shared" si="9"/>
        <v>15.618074175371433</v>
      </c>
      <c r="M110">
        <f t="shared" si="12"/>
        <v>1.2257523143070017</v>
      </c>
    </row>
    <row r="111" spans="5:13" x14ac:dyDescent="0.2">
      <c r="J111">
        <v>13.375</v>
      </c>
      <c r="K111">
        <f t="shared" si="8"/>
        <v>0.78798660852809677</v>
      </c>
      <c r="L111">
        <f t="shared" si="9"/>
        <v>15.759732170561936</v>
      </c>
      <c r="M111">
        <f t="shared" si="12"/>
        <v>1.1332639615240225</v>
      </c>
    </row>
    <row r="112" spans="5:13" x14ac:dyDescent="0.2">
      <c r="J112">
        <v>13.5</v>
      </c>
      <c r="K112">
        <f t="shared" si="8"/>
        <v>0.79458377215879683</v>
      </c>
      <c r="L112">
        <f t="shared" si="9"/>
        <v>15.891675443175936</v>
      </c>
      <c r="M112">
        <f t="shared" si="12"/>
        <v>1.0555461809120033</v>
      </c>
    </row>
    <row r="113" spans="10:13" x14ac:dyDescent="0.2">
      <c r="J113">
        <v>13.625</v>
      </c>
      <c r="K113">
        <f t="shared" si="8"/>
        <v>0.80076631131447606</v>
      </c>
      <c r="L113">
        <f t="shared" si="9"/>
        <v>16.01532622628952</v>
      </c>
      <c r="M113">
        <f t="shared" si="12"/>
        <v>0.98920626490867392</v>
      </c>
    </row>
    <row r="114" spans="10:13" x14ac:dyDescent="0.2">
      <c r="J114">
        <v>13.75</v>
      </c>
      <c r="K114">
        <f t="shared" si="8"/>
        <v>0.80659025726019284</v>
      </c>
      <c r="L114">
        <f t="shared" si="9"/>
        <v>16.131805145203856</v>
      </c>
      <c r="M114">
        <f t="shared" si="12"/>
        <v>0.93183135131468475</v>
      </c>
    </row>
    <row r="115" spans="10:13" x14ac:dyDescent="0.2">
      <c r="J115">
        <v>13.875</v>
      </c>
      <c r="K115">
        <f t="shared" si="8"/>
        <v>0.81210060624542968</v>
      </c>
      <c r="L115">
        <f t="shared" si="9"/>
        <v>16.242012124908594</v>
      </c>
      <c r="M115">
        <f t="shared" si="12"/>
        <v>0.88165583763790778</v>
      </c>
    </row>
    <row r="116" spans="10:13" x14ac:dyDescent="0.2">
      <c r="J116">
        <v>14</v>
      </c>
      <c r="K116">
        <f t="shared" si="8"/>
        <v>0.81733408290787524</v>
      </c>
      <c r="L116">
        <f t="shared" si="9"/>
        <v>16.346681658157504</v>
      </c>
      <c r="M116">
        <f t="shared" si="12"/>
        <v>0.837356265991275</v>
      </c>
    </row>
    <row r="117" spans="10:13" x14ac:dyDescent="0.2">
      <c r="J117">
        <v>14.125</v>
      </c>
      <c r="K117">
        <f t="shared" si="8"/>
        <v>0.8223210824920415</v>
      </c>
      <c r="L117">
        <f t="shared" si="9"/>
        <v>16.446421649840829</v>
      </c>
      <c r="M117">
        <f t="shared" si="12"/>
        <v>0.79791993346660206</v>
      </c>
    </row>
    <row r="118" spans="10:13" x14ac:dyDescent="0.2">
      <c r="J118">
        <v>14.25</v>
      </c>
      <c r="K118">
        <f t="shared" si="8"/>
        <v>0.82708706975608304</v>
      </c>
      <c r="L118">
        <f t="shared" si="9"/>
        <v>16.541741395121662</v>
      </c>
      <c r="M118">
        <f t="shared" si="12"/>
        <v>0.76255796224666028</v>
      </c>
    </row>
    <row r="119" spans="10:13" x14ac:dyDescent="0.2">
      <c r="J119">
        <v>14.375</v>
      </c>
      <c r="K119">
        <f t="shared" si="8"/>
        <v>0.83165360823660839</v>
      </c>
      <c r="L119">
        <f t="shared" si="9"/>
        <v>16.63307216473217</v>
      </c>
      <c r="M119">
        <f t="shared" si="12"/>
        <v>0.7306461568840632</v>
      </c>
    </row>
    <row r="120" spans="10:13" x14ac:dyDescent="0.2">
      <c r="J120">
        <v>14.5</v>
      </c>
      <c r="K120">
        <f t="shared" si="8"/>
        <v>0.83603913182834466</v>
      </c>
      <c r="L120">
        <f t="shared" si="9"/>
        <v>16.720782636566895</v>
      </c>
      <c r="M120">
        <f t="shared" si="12"/>
        <v>0.70168377467780374</v>
      </c>
    </row>
    <row r="121" spans="10:13" x14ac:dyDescent="0.2">
      <c r="J121">
        <v>14.625</v>
      </c>
      <c r="K121">
        <f t="shared" si="8"/>
        <v>0.84025953283419597</v>
      </c>
      <c r="L121">
        <f t="shared" si="9"/>
        <v>16.805190656683919</v>
      </c>
      <c r="M121">
        <f t="shared" si="12"/>
        <v>0.67526416093619446</v>
      </c>
    </row>
    <row r="122" spans="10:13" x14ac:dyDescent="0.2">
      <c r="J122">
        <v>14.75</v>
      </c>
      <c r="K122">
        <f t="shared" si="8"/>
        <v>0.84432861679180404</v>
      </c>
      <c r="L122">
        <f t="shared" si="9"/>
        <v>16.886572335836082</v>
      </c>
      <c r="M122">
        <f t="shared" si="12"/>
        <v>0.65105343321729947</v>
      </c>
    </row>
    <row r="123" spans="10:13" x14ac:dyDescent="0.2">
      <c r="J123">
        <v>14.875</v>
      </c>
      <c r="K123">
        <f t="shared" si="8"/>
        <v>0.8482584589370159</v>
      </c>
      <c r="L123">
        <f t="shared" si="9"/>
        <v>16.965169178740318</v>
      </c>
      <c r="M123">
        <f t="shared" si="12"/>
        <v>0.62877474323389038</v>
      </c>
    </row>
    <row r="124" spans="10:13" x14ac:dyDescent="0.2">
      <c r="J124">
        <v>15</v>
      </c>
      <c r="K124">
        <f t="shared" si="8"/>
        <v>0.85205968692557521</v>
      </c>
      <c r="L124">
        <f t="shared" si="9"/>
        <v>17.041193738511502</v>
      </c>
      <c r="M124">
        <f t="shared" si="12"/>
        <v>0.60819647816947509</v>
      </c>
    </row>
    <row r="125" spans="10:13" x14ac:dyDescent="0.2">
      <c r="J125">
        <v>15.125</v>
      </c>
      <c r="K125">
        <f t="shared" si="8"/>
        <v>0.8557417075033541</v>
      </c>
      <c r="L125">
        <f t="shared" si="9"/>
        <v>17.114834150067082</v>
      </c>
      <c r="M125">
        <f t="shared" si="12"/>
        <v>0.5891232924446399</v>
      </c>
    </row>
    <row r="126" spans="10:13" x14ac:dyDescent="0.2">
      <c r="J126">
        <v>15.25</v>
      </c>
      <c r="K126">
        <f t="shared" si="8"/>
        <v>0.85931289003438649</v>
      </c>
      <c r="L126">
        <f t="shared" si="9"/>
        <v>17.186257800687731</v>
      </c>
      <c r="M126">
        <f t="shared" si="12"/>
        <v>0.57138920496518608</v>
      </c>
    </row>
    <row r="127" spans="10:13" x14ac:dyDescent="0.2">
      <c r="J127">
        <v>15.375</v>
      </c>
      <c r="K127">
        <f t="shared" si="8"/>
        <v>0.8627807164410275</v>
      </c>
      <c r="L127">
        <f t="shared" si="9"/>
        <v>17.255614328820549</v>
      </c>
      <c r="M127">
        <f t="shared" si="12"/>
        <v>0.55485222506254672</v>
      </c>
    </row>
    <row r="128" spans="10:13" x14ac:dyDescent="0.2">
      <c r="J128">
        <v>15.5</v>
      </c>
      <c r="K128">
        <f t="shared" si="8"/>
        <v>0.86615190471937398</v>
      </c>
      <c r="L128">
        <f t="shared" si="9"/>
        <v>17.323038094387478</v>
      </c>
      <c r="M128">
        <f t="shared" si="12"/>
        <v>0.53939012453543</v>
      </c>
    </row>
    <row r="129" spans="10:13" x14ac:dyDescent="0.2">
      <c r="J129">
        <v>15.625</v>
      </c>
      <c r="K129">
        <f t="shared" si="8"/>
        <v>0.86943251146428902</v>
      </c>
      <c r="L129">
        <f t="shared" si="9"/>
        <v>17.38865022928578</v>
      </c>
      <c r="M129">
        <f t="shared" si="12"/>
        <v>0.5248970791864167</v>
      </c>
    </row>
    <row r="130" spans="10:13" x14ac:dyDescent="0.2">
      <c r="J130">
        <v>15.75</v>
      </c>
      <c r="K130">
        <f t="shared" si="8"/>
        <v>0.87262801757200292</v>
      </c>
      <c r="L130">
        <f t="shared" si="9"/>
        <v>17.452560351440059</v>
      </c>
      <c r="M130">
        <f t="shared" si="12"/>
        <v>0.51128097723423593</v>
      </c>
    </row>
    <row r="131" spans="10:13" x14ac:dyDescent="0.2">
      <c r="J131">
        <v>15.875</v>
      </c>
      <c r="K131">
        <f t="shared" si="8"/>
        <v>0.87574340034933651</v>
      </c>
      <c r="L131">
        <f t="shared" si="9"/>
        <v>17.514868006986731</v>
      </c>
      <c r="M131">
        <f t="shared" si="12"/>
        <v>0.4984612443733738</v>
      </c>
    </row>
    <row r="132" spans="10:13" x14ac:dyDescent="0.2">
      <c r="J132">
        <v>16</v>
      </c>
      <c r="K132">
        <f t="shared" si="8"/>
        <v>0.87878319455464005</v>
      </c>
      <c r="L132">
        <f t="shared" si="9"/>
        <v>17.575663891092802</v>
      </c>
      <c r="M132">
        <f t="shared" si="12"/>
        <v>0.48636707284856584</v>
      </c>
    </row>
    <row r="133" spans="10:13" x14ac:dyDescent="0.2">
      <c r="J133">
        <v>16.125</v>
      </c>
      <c r="K133">
        <f t="shared" ref="K133:K196" si="13">0.5+(J133-12)/24*(24.024/(2*ABS(J133-12)+0.04))^0.75</f>
        <v>0.88175154436223679</v>
      </c>
      <c r="L133">
        <f t="shared" ref="L133:L196" si="14">K133*$F$2</f>
        <v>17.635030887244735</v>
      </c>
      <c r="M133">
        <f t="shared" si="12"/>
        <v>0.47493596921546555</v>
      </c>
    </row>
    <row r="134" spans="10:13" x14ac:dyDescent="0.2">
      <c r="J134">
        <v>16.25</v>
      </c>
      <c r="K134">
        <f t="shared" si="13"/>
        <v>0.88465224783423368</v>
      </c>
      <c r="L134">
        <f t="shared" si="14"/>
        <v>17.693044956684673</v>
      </c>
      <c r="M134">
        <f t="shared" si="12"/>
        <v>0.46411255551950603</v>
      </c>
    </row>
    <row r="135" spans="10:13" x14ac:dyDescent="0.2">
      <c r="J135">
        <v>16.375</v>
      </c>
      <c r="K135">
        <f t="shared" si="13"/>
        <v>0.88748879516872681</v>
      </c>
      <c r="L135">
        <f t="shared" si="14"/>
        <v>17.749775903374537</v>
      </c>
      <c r="M135">
        <f t="shared" si="12"/>
        <v>0.4538475735189138</v>
      </c>
    </row>
    <row r="136" spans="10:13" x14ac:dyDescent="0.2">
      <c r="J136">
        <v>16.5</v>
      </c>
      <c r="K136">
        <f t="shared" si="13"/>
        <v>0.89026440174836607</v>
      </c>
      <c r="L136">
        <f t="shared" si="14"/>
        <v>17.805288034967322</v>
      </c>
      <c r="M136">
        <f t="shared" si="12"/>
        <v>0.44409705274227917</v>
      </c>
    </row>
    <row r="137" spans="10:13" x14ac:dyDescent="0.2">
      <c r="J137">
        <v>16.625</v>
      </c>
      <c r="K137">
        <f t="shared" si="13"/>
        <v>0.89298203682100818</v>
      </c>
      <c r="L137">
        <f t="shared" si="14"/>
        <v>17.859640736420165</v>
      </c>
      <c r="M137">
        <f t="shared" si="12"/>
        <v>0.43482161162273769</v>
      </c>
    </row>
    <row r="138" spans="10:13" x14ac:dyDescent="0.2">
      <c r="J138">
        <v>16.75</v>
      </c>
      <c r="K138">
        <f t="shared" si="13"/>
        <v>0.89564444849225966</v>
      </c>
      <c r="L138">
        <f t="shared" si="14"/>
        <v>17.912888969845191</v>
      </c>
      <c r="M138">
        <f t="shared" si="12"/>
        <v>0.4259858674002146</v>
      </c>
    </row>
    <row r="139" spans="10:13" x14ac:dyDescent="0.2">
      <c r="J139">
        <v>16.875</v>
      </c>
      <c r="K139">
        <f t="shared" si="13"/>
        <v>0.89825418558879455</v>
      </c>
      <c r="L139">
        <f t="shared" si="14"/>
        <v>17.96508371177589</v>
      </c>
      <c r="M139">
        <f t="shared" si="12"/>
        <v>0.41755793544558628</v>
      </c>
    </row>
    <row r="140" spans="10:13" x14ac:dyDescent="0.2">
      <c r="J140">
        <v>17</v>
      </c>
      <c r="K140">
        <f t="shared" si="13"/>
        <v>0.90081361685448269</v>
      </c>
      <c r="L140">
        <f t="shared" si="14"/>
        <v>18.016272337089653</v>
      </c>
      <c r="M140">
        <f t="shared" si="12"/>
        <v>0.4095090025101058</v>
      </c>
    </row>
    <row r="141" spans="10:13" x14ac:dyDescent="0.2">
      <c r="J141">
        <v>17.125</v>
      </c>
      <c r="K141">
        <f t="shared" si="13"/>
        <v>0.90332494786329343</v>
      </c>
      <c r="L141">
        <f t="shared" si="14"/>
        <v>18.066498957265868</v>
      </c>
      <c r="M141">
        <f t="shared" si="12"/>
        <v>0.40181296140971767</v>
      </c>
    </row>
    <row r="142" spans="10:13" x14ac:dyDescent="0.2">
      <c r="J142">
        <v>17.25</v>
      </c>
      <c r="K142">
        <f t="shared" si="13"/>
        <v>0.90579023596964348</v>
      </c>
      <c r="L142">
        <f t="shared" si="14"/>
        <v>18.11580471939287</v>
      </c>
      <c r="M142">
        <f t="shared" si="12"/>
        <v>0.39444609701601507</v>
      </c>
    </row>
    <row r="143" spans="10:13" x14ac:dyDescent="0.2">
      <c r="J143">
        <v>17.375</v>
      </c>
      <c r="K143">
        <f t="shared" si="13"/>
        <v>0.90821140356525787</v>
      </c>
      <c r="L143">
        <f t="shared" si="14"/>
        <v>18.164228071305157</v>
      </c>
      <c r="M143">
        <f t="shared" si="12"/>
        <v>0.38738681529829933</v>
      </c>
    </row>
    <row r="144" spans="10:13" x14ac:dyDescent="0.2">
      <c r="J144">
        <v>17.5</v>
      </c>
      <c r="K144">
        <f t="shared" si="13"/>
        <v>0.91059024986931836</v>
      </c>
      <c r="L144">
        <f t="shared" si="14"/>
        <v>18.211804997386366</v>
      </c>
      <c r="M144">
        <f t="shared" si="12"/>
        <v>0.38061540864967469</v>
      </c>
    </row>
    <row r="145" spans="10:13" x14ac:dyDescent="0.2">
      <c r="J145">
        <v>17.625</v>
      </c>
      <c r="K145">
        <f t="shared" si="13"/>
        <v>0.91292846144384354</v>
      </c>
      <c r="L145">
        <f t="shared" si="14"/>
        <v>18.258569228876873</v>
      </c>
      <c r="M145">
        <f t="shared" si="12"/>
        <v>0.37411385192405078</v>
      </c>
    </row>
    <row r="146" spans="10:13" x14ac:dyDescent="0.2">
      <c r="J146">
        <v>17.75</v>
      </c>
      <c r="K146">
        <f t="shared" si="13"/>
        <v>0.91522762159741511</v>
      </c>
      <c r="L146">
        <f t="shared" si="14"/>
        <v>18.304552431948302</v>
      </c>
      <c r="M146">
        <f t="shared" si="12"/>
        <v>0.36786562457143646</v>
      </c>
    </row>
    <row r="147" spans="10:13" x14ac:dyDescent="0.2">
      <c r="J147">
        <v>17.875</v>
      </c>
      <c r="K147">
        <f t="shared" si="13"/>
        <v>0.91748921881639678</v>
      </c>
      <c r="L147">
        <f t="shared" si="14"/>
        <v>18.349784376327936</v>
      </c>
      <c r="M147">
        <f t="shared" si="12"/>
        <v>0.36185555503706723</v>
      </c>
    </row>
    <row r="148" spans="10:13" x14ac:dyDescent="0.2">
      <c r="J148">
        <v>18</v>
      </c>
      <c r="K148">
        <f t="shared" si="13"/>
        <v>0.91971465434279054</v>
      </c>
      <c r="L148">
        <f t="shared" si="14"/>
        <v>18.394293086855811</v>
      </c>
      <c r="M148">
        <f t="shared" si="12"/>
        <v>0.35606968422300156</v>
      </c>
    </row>
    <row r="149" spans="10:13" x14ac:dyDescent="0.2">
      <c r="J149">
        <v>18.125</v>
      </c>
      <c r="K149">
        <f t="shared" si="13"/>
        <v>0.92190524900109128</v>
      </c>
      <c r="L149">
        <f t="shared" si="14"/>
        <v>18.438104980021826</v>
      </c>
      <c r="M149">
        <f t="shared" si="12"/>
        <v>0.35049514532812509</v>
      </c>
    </row>
    <row r="150" spans="10:13" x14ac:dyDescent="0.2">
      <c r="J150">
        <v>18.25</v>
      </c>
      <c r="K150">
        <f t="shared" si="13"/>
        <v>0.92406224936238801</v>
      </c>
      <c r="L150">
        <f t="shared" si="14"/>
        <v>18.481244987247759</v>
      </c>
      <c r="M150">
        <f t="shared" si="12"/>
        <v>0.34512005780746335</v>
      </c>
    </row>
    <row r="151" spans="10:13" x14ac:dyDescent="0.2">
      <c r="J151">
        <v>18.375</v>
      </c>
      <c r="K151">
        <f t="shared" si="13"/>
        <v>0.92618683332202878</v>
      </c>
      <c r="L151">
        <f t="shared" si="14"/>
        <v>18.523736666440577</v>
      </c>
      <c r="M151">
        <f t="shared" si="12"/>
        <v>0.3399334335425408</v>
      </c>
    </row>
    <row r="152" spans="10:13" x14ac:dyDescent="0.2">
      <c r="J152">
        <v>18.5</v>
      </c>
      <c r="K152">
        <f t="shared" si="13"/>
        <v>0.92828011515705766</v>
      </c>
      <c r="L152">
        <f t="shared" si="14"/>
        <v>18.565602303141155</v>
      </c>
      <c r="M152">
        <f t="shared" si="12"/>
        <v>0.33492509360462464</v>
      </c>
    </row>
    <row r="153" spans="10:13" x14ac:dyDescent="0.2">
      <c r="J153">
        <v>18.625</v>
      </c>
      <c r="K153">
        <f t="shared" si="13"/>
        <v>0.93034315012101976</v>
      </c>
      <c r="L153">
        <f t="shared" si="14"/>
        <v>18.606863002420397</v>
      </c>
      <c r="M153">
        <f t="shared" si="12"/>
        <v>0.33008559423393535</v>
      </c>
    </row>
    <row r="154" spans="10:13" x14ac:dyDescent="0.2">
      <c r="J154">
        <v>18.75</v>
      </c>
      <c r="K154">
        <f t="shared" si="13"/>
        <v>0.93237693862639426</v>
      </c>
      <c r="L154">
        <f t="shared" si="14"/>
        <v>18.647538772527884</v>
      </c>
      <c r="M154">
        <f t="shared" si="12"/>
        <v>0.32540616085989882</v>
      </c>
    </row>
    <row r="155" spans="10:13" x14ac:dyDescent="0.2">
      <c r="J155">
        <v>18.875</v>
      </c>
      <c r="K155">
        <f t="shared" si="13"/>
        <v>0.93438243005862076</v>
      </c>
      <c r="L155">
        <f t="shared" si="14"/>
        <v>18.687648601172416</v>
      </c>
      <c r="M155">
        <f t="shared" si="12"/>
        <v>0.32087862915625465</v>
      </c>
    </row>
    <row r="156" spans="10:13" x14ac:dyDescent="0.2">
      <c r="J156">
        <v>19</v>
      </c>
      <c r="K156">
        <f t="shared" si="13"/>
        <v>0.93636052626028321</v>
      </c>
      <c r="L156">
        <f t="shared" si="14"/>
        <v>18.727210525205663</v>
      </c>
      <c r="M156">
        <f t="shared" si="12"/>
        <v>0.31649539226597767</v>
      </c>
    </row>
    <row r="157" spans="10:13" x14ac:dyDescent="0.2">
      <c r="J157">
        <v>19.125</v>
      </c>
      <c r="K157">
        <f t="shared" si="13"/>
        <v>0.93831208471936023</v>
      </c>
      <c r="L157">
        <f t="shared" si="14"/>
        <v>18.766241694387205</v>
      </c>
      <c r="M157">
        <f t="shared" si="12"/>
        <v>0.31224935345233007</v>
      </c>
    </row>
    <row r="158" spans="10:13" x14ac:dyDescent="0.2">
      <c r="J158">
        <v>19.25</v>
      </c>
      <c r="K158">
        <f t="shared" si="13"/>
        <v>0.94023792149143604</v>
      </c>
      <c r="L158">
        <f t="shared" si="14"/>
        <v>18.80475842982872</v>
      </c>
      <c r="M158">
        <f t="shared" si="12"/>
        <v>0.3081338835321219</v>
      </c>
    </row>
    <row r="159" spans="10:13" x14ac:dyDescent="0.2">
      <c r="J159">
        <v>19.375</v>
      </c>
      <c r="K159">
        <f t="shared" si="13"/>
        <v>0.94213881388227494</v>
      </c>
      <c r="L159">
        <f t="shared" si="14"/>
        <v>18.842776277645498</v>
      </c>
      <c r="M159">
        <f t="shared" si="12"/>
        <v>0.30414278253422822</v>
      </c>
    </row>
    <row r="160" spans="10:13" x14ac:dyDescent="0.2">
      <c r="J160">
        <v>19.5</v>
      </c>
      <c r="K160">
        <f t="shared" si="13"/>
        <v>0.9440155029141446</v>
      </c>
      <c r="L160">
        <f t="shared" si="14"/>
        <v>18.880310058282891</v>
      </c>
      <c r="M160">
        <f t="shared" si="12"/>
        <v>0.30027024509914213</v>
      </c>
    </row>
    <row r="161" spans="10:13" x14ac:dyDescent="0.2">
      <c r="J161">
        <v>19.625</v>
      </c>
      <c r="K161">
        <f t="shared" si="13"/>
        <v>0.94586869559663778</v>
      </c>
      <c r="L161">
        <f t="shared" si="14"/>
        <v>18.917373911932756</v>
      </c>
      <c r="M161">
        <f t="shared" si="12"/>
        <v>0.29651082919892247</v>
      </c>
    </row>
    <row r="162" spans="10:13" x14ac:dyDescent="0.2">
      <c r="J162">
        <v>19.75</v>
      </c>
      <c r="K162">
        <f t="shared" si="13"/>
        <v>0.94769906702044016</v>
      </c>
      <c r="L162">
        <f t="shared" si="14"/>
        <v>18.953981340408802</v>
      </c>
      <c r="M162">
        <f t="shared" si="12"/>
        <v>0.29285942780836649</v>
      </c>
    </row>
    <row r="163" spans="10:13" x14ac:dyDescent="0.2">
      <c r="J163">
        <v>19.875</v>
      </c>
      <c r="K163">
        <f t="shared" si="13"/>
        <v>0.94950726229048832</v>
      </c>
      <c r="L163">
        <f t="shared" si="14"/>
        <v>18.990145245809767</v>
      </c>
      <c r="M163">
        <f t="shared" si="12"/>
        <v>0.28931124320772028</v>
      </c>
    </row>
    <row r="164" spans="10:13" x14ac:dyDescent="0.2">
      <c r="J164">
        <v>20</v>
      </c>
      <c r="K164">
        <f t="shared" si="13"/>
        <v>0.95129389831319089</v>
      </c>
      <c r="L164">
        <f t="shared" si="14"/>
        <v>19.025877966263817</v>
      </c>
      <c r="M164">
        <f t="shared" si="12"/>
        <v>0.28586176363239701</v>
      </c>
    </row>
    <row r="165" spans="10:13" x14ac:dyDescent="0.2">
      <c r="J165">
        <v>20.125</v>
      </c>
      <c r="K165">
        <f t="shared" si="13"/>
        <v>0.95305956545084003</v>
      </c>
      <c r="L165">
        <f t="shared" si="14"/>
        <v>19.061191309016799</v>
      </c>
      <c r="M165">
        <f t="shared" ref="M165:M196" si="15">(L165-L164)/(J165-J164)</f>
        <v>0.2825067420238554</v>
      </c>
    </row>
    <row r="166" spans="10:13" x14ac:dyDescent="0.2">
      <c r="J166">
        <v>20.25</v>
      </c>
      <c r="K166">
        <f t="shared" si="13"/>
        <v>0.95480482905497688</v>
      </c>
      <c r="L166">
        <f t="shared" si="14"/>
        <v>19.096096581099538</v>
      </c>
      <c r="M166">
        <f t="shared" si="15"/>
        <v>0.27924217666190998</v>
      </c>
    </row>
    <row r="167" spans="10:13" x14ac:dyDescent="0.2">
      <c r="J167">
        <v>20.375</v>
      </c>
      <c r="K167">
        <f t="shared" si="13"/>
        <v>0.95653023088926725</v>
      </c>
      <c r="L167">
        <f t="shared" si="14"/>
        <v>19.130604617785345</v>
      </c>
      <c r="M167">
        <f t="shared" si="15"/>
        <v>0.27606429348645634</v>
      </c>
    </row>
    <row r="168" spans="10:13" x14ac:dyDescent="0.2">
      <c r="J168">
        <v>20.5</v>
      </c>
      <c r="K168">
        <f t="shared" si="13"/>
        <v>0.95823629045138081</v>
      </c>
      <c r="L168">
        <f t="shared" si="14"/>
        <v>19.164725809027615</v>
      </c>
      <c r="M168">
        <f t="shared" si="15"/>
        <v>0.27296952993816603</v>
      </c>
    </row>
    <row r="169" spans="10:13" x14ac:dyDescent="0.2">
      <c r="J169">
        <v>20.625</v>
      </c>
      <c r="K169">
        <f t="shared" si="13"/>
        <v>0.9599235062024245</v>
      </c>
      <c r="L169">
        <f t="shared" si="14"/>
        <v>19.198470124048491</v>
      </c>
      <c r="M169">
        <f t="shared" si="15"/>
        <v>0.26995452016700483</v>
      </c>
    </row>
    <row r="170" spans="10:13" x14ac:dyDescent="0.2">
      <c r="J170">
        <v>20.75</v>
      </c>
      <c r="K170">
        <f t="shared" si="13"/>
        <v>0.96159235671164223</v>
      </c>
      <c r="L170">
        <f t="shared" si="14"/>
        <v>19.231847134232844</v>
      </c>
      <c r="M170">
        <f t="shared" si="15"/>
        <v>0.26701608147482148</v>
      </c>
    </row>
    <row r="171" spans="10:13" x14ac:dyDescent="0.2">
      <c r="J171">
        <v>20.875</v>
      </c>
      <c r="K171">
        <f t="shared" si="13"/>
        <v>0.96324330172334671</v>
      </c>
      <c r="L171">
        <f t="shared" si="14"/>
        <v>19.264866034466934</v>
      </c>
      <c r="M171">
        <f t="shared" si="15"/>
        <v>0.26415120187272123</v>
      </c>
    </row>
    <row r="172" spans="10:13" x14ac:dyDescent="0.2">
      <c r="J172">
        <v>21</v>
      </c>
      <c r="K172">
        <f t="shared" si="13"/>
        <v>0.96487678315239189</v>
      </c>
      <c r="L172">
        <f t="shared" si="14"/>
        <v>19.297535663047839</v>
      </c>
      <c r="M172">
        <f t="shared" si="15"/>
        <v>0.26135702864723953</v>
      </c>
    </row>
    <row r="173" spans="10:13" x14ac:dyDescent="0.2">
      <c r="J173">
        <v>21.125</v>
      </c>
      <c r="K173">
        <f t="shared" si="13"/>
        <v>0.96649322601389687</v>
      </c>
      <c r="L173">
        <f t="shared" si="14"/>
        <v>19.329864520277937</v>
      </c>
      <c r="M173">
        <f t="shared" si="15"/>
        <v>0.25863085784078521</v>
      </c>
    </row>
    <row r="174" spans="10:13" x14ac:dyDescent="0.2">
      <c r="J174">
        <v>21.25</v>
      </c>
      <c r="K174">
        <f t="shared" si="13"/>
        <v>0.96809303929240542</v>
      </c>
      <c r="L174">
        <f t="shared" si="14"/>
        <v>19.361860785848108</v>
      </c>
      <c r="M174">
        <f t="shared" si="15"/>
        <v>0.25597012456137236</v>
      </c>
    </row>
    <row r="175" spans="10:13" x14ac:dyDescent="0.2">
      <c r="J175">
        <v>21.375</v>
      </c>
      <c r="K175">
        <f t="shared" si="13"/>
        <v>0.96967661675519312</v>
      </c>
      <c r="L175">
        <f t="shared" si="14"/>
        <v>19.393532335103863</v>
      </c>
      <c r="M175">
        <f t="shared" si="15"/>
        <v>0.25337239404603906</v>
      </c>
    </row>
    <row r="176" spans="10:13" x14ac:dyDescent="0.2">
      <c r="J176">
        <v>21.5</v>
      </c>
      <c r="K176">
        <f t="shared" si="13"/>
        <v>0.97124433771400831</v>
      </c>
      <c r="L176">
        <f t="shared" si="14"/>
        <v>19.424886754280166</v>
      </c>
      <c r="M176">
        <f t="shared" si="15"/>
        <v>0.25083535341042307</v>
      </c>
    </row>
    <row r="177" spans="10:13" x14ac:dyDescent="0.2">
      <c r="J177">
        <v>21.625</v>
      </c>
      <c r="K177">
        <f t="shared" si="13"/>
        <v>0.97279656773915302</v>
      </c>
      <c r="L177">
        <f t="shared" si="14"/>
        <v>19.455931354783061</v>
      </c>
      <c r="M177">
        <f t="shared" si="15"/>
        <v>0.24835680402316029</v>
      </c>
    </row>
    <row r="178" spans="10:13" x14ac:dyDescent="0.2">
      <c r="J178">
        <v>21.75</v>
      </c>
      <c r="K178">
        <f t="shared" si="13"/>
        <v>0.97433365932946359</v>
      </c>
      <c r="L178">
        <f t="shared" si="14"/>
        <v>19.486673186589272</v>
      </c>
      <c r="M178">
        <f t="shared" si="15"/>
        <v>0.24593465444968388</v>
      </c>
    </row>
    <row r="179" spans="10:13" x14ac:dyDescent="0.2">
      <c r="J179">
        <v>21.875</v>
      </c>
      <c r="K179">
        <f t="shared" si="13"/>
        <v>0.97585595254145008</v>
      </c>
      <c r="L179">
        <f t="shared" si="14"/>
        <v>19.517119050829002</v>
      </c>
      <c r="M179">
        <f t="shared" si="15"/>
        <v>0.2435669139178458</v>
      </c>
    </row>
    <row r="180" spans="10:13" x14ac:dyDescent="0.2">
      <c r="J180">
        <v>22</v>
      </c>
      <c r="K180">
        <f t="shared" si="13"/>
        <v>0.9773637755805662</v>
      </c>
      <c r="L180">
        <f t="shared" si="14"/>
        <v>19.547275511611325</v>
      </c>
      <c r="M180">
        <f t="shared" si="15"/>
        <v>0.24125168625857896</v>
      </c>
    </row>
    <row r="181" spans="10:13" x14ac:dyDescent="0.2">
      <c r="J181">
        <v>22.125</v>
      </c>
      <c r="K181">
        <f t="shared" si="13"/>
        <v>0.97885744535733554</v>
      </c>
      <c r="L181">
        <f t="shared" si="14"/>
        <v>19.577148907146711</v>
      </c>
      <c r="M181">
        <f t="shared" si="15"/>
        <v>0.2389871642830883</v>
      </c>
    </row>
    <row r="182" spans="10:13" x14ac:dyDescent="0.2">
      <c r="J182">
        <v>22.25</v>
      </c>
      <c r="K182">
        <f t="shared" si="13"/>
        <v>0.98033726801083265</v>
      </c>
      <c r="L182">
        <f t="shared" si="14"/>
        <v>19.606745360216653</v>
      </c>
      <c r="M182">
        <f t="shared" si="15"/>
        <v>0.23677162455953749</v>
      </c>
    </row>
    <row r="183" spans="10:13" x14ac:dyDescent="0.2">
      <c r="J183">
        <v>22.375</v>
      </c>
      <c r="K183">
        <f t="shared" si="13"/>
        <v>0.9818035394018082</v>
      </c>
      <c r="L183">
        <f t="shared" si="14"/>
        <v>19.636070788036164</v>
      </c>
      <c r="M183">
        <f t="shared" si="15"/>
        <v>0.23460342255609135</v>
      </c>
    </row>
    <row r="184" spans="10:13" x14ac:dyDescent="0.2">
      <c r="J184">
        <v>22.5</v>
      </c>
      <c r="K184">
        <f t="shared" si="13"/>
        <v>0.98325654557756437</v>
      </c>
      <c r="L184">
        <f t="shared" si="14"/>
        <v>19.665130911551287</v>
      </c>
      <c r="M184">
        <f t="shared" si="15"/>
        <v>0.23248098812098306</v>
      </c>
    </row>
    <row r="185" spans="10:13" x14ac:dyDescent="0.2">
      <c r="J185">
        <v>22.625</v>
      </c>
      <c r="K185">
        <f t="shared" si="13"/>
        <v>0.98469656321051702</v>
      </c>
      <c r="L185">
        <f t="shared" si="14"/>
        <v>19.693931264210342</v>
      </c>
      <c r="M185">
        <f t="shared" si="15"/>
        <v>0.23040282127243472</v>
      </c>
    </row>
    <row r="186" spans="10:13" x14ac:dyDescent="0.2">
      <c r="J186">
        <v>22.75</v>
      </c>
      <c r="K186">
        <f t="shared" si="13"/>
        <v>0.98612386001222441</v>
      </c>
      <c r="L186">
        <f t="shared" si="14"/>
        <v>19.722477200244487</v>
      </c>
      <c r="M186">
        <f t="shared" si="15"/>
        <v>0.22836748827316455</v>
      </c>
    </row>
    <row r="187" spans="10:13" x14ac:dyDescent="0.2">
      <c r="J187">
        <v>22.875</v>
      </c>
      <c r="K187">
        <f t="shared" si="13"/>
        <v>0.9875386951245253</v>
      </c>
      <c r="L187">
        <f t="shared" si="14"/>
        <v>19.750773902490508</v>
      </c>
      <c r="M187">
        <f t="shared" si="15"/>
        <v>0.22637361796816435</v>
      </c>
    </row>
    <row r="188" spans="10:13" x14ac:dyDescent="0.2">
      <c r="J188">
        <v>23</v>
      </c>
      <c r="K188">
        <f t="shared" si="13"/>
        <v>0.98894131948930197</v>
      </c>
      <c r="L188">
        <f t="shared" si="14"/>
        <v>19.77882638978604</v>
      </c>
      <c r="M188">
        <f t="shared" si="15"/>
        <v>0.22441989836426046</v>
      </c>
    </row>
    <row r="189" spans="10:13" x14ac:dyDescent="0.2">
      <c r="J189">
        <v>23.125</v>
      </c>
      <c r="K189">
        <f t="shared" si="13"/>
        <v>0.99033197619826374</v>
      </c>
      <c r="L189">
        <f t="shared" si="14"/>
        <v>19.806639523965273</v>
      </c>
      <c r="M189">
        <f t="shared" si="15"/>
        <v>0.22250507343386516</v>
      </c>
    </row>
    <row r="190" spans="10:13" x14ac:dyDescent="0.2">
      <c r="J190">
        <v>23.25</v>
      </c>
      <c r="K190">
        <f t="shared" si="13"/>
        <v>0.99171090082404434</v>
      </c>
      <c r="L190">
        <f t="shared" si="14"/>
        <v>19.834218016480886</v>
      </c>
      <c r="M190">
        <f t="shared" si="15"/>
        <v>0.22062794012489917</v>
      </c>
    </row>
    <row r="191" spans="10:13" x14ac:dyDescent="0.2">
      <c r="J191">
        <v>23.375</v>
      </c>
      <c r="K191">
        <f t="shared" si="13"/>
        <v>0.99307832173380828</v>
      </c>
      <c r="L191">
        <f t="shared" si="14"/>
        <v>19.861566434676167</v>
      </c>
      <c r="M191">
        <f t="shared" si="15"/>
        <v>0.21878734556224799</v>
      </c>
    </row>
    <row r="192" spans="10:13" x14ac:dyDescent="0.2">
      <c r="J192">
        <v>23.5</v>
      </c>
      <c r="K192">
        <f t="shared" si="13"/>
        <v>0.99443446038647321</v>
      </c>
      <c r="L192">
        <f t="shared" si="14"/>
        <v>19.888689207729463</v>
      </c>
      <c r="M192">
        <f t="shared" si="15"/>
        <v>0.21698218442637085</v>
      </c>
    </row>
    <row r="193" spans="10:13" x14ac:dyDescent="0.2">
      <c r="J193">
        <v>23.625</v>
      </c>
      <c r="K193">
        <f t="shared" si="13"/>
        <v>0.995779531614569</v>
      </c>
      <c r="L193">
        <f t="shared" si="14"/>
        <v>19.91559063229138</v>
      </c>
      <c r="M193">
        <f t="shared" si="15"/>
        <v>0.21521139649533438</v>
      </c>
    </row>
    <row r="194" spans="10:13" x14ac:dyDescent="0.2">
      <c r="J194">
        <v>23.75</v>
      </c>
      <c r="K194">
        <f t="shared" si="13"/>
        <v>0.99711374389169105</v>
      </c>
      <c r="L194">
        <f t="shared" si="14"/>
        <v>19.942274877833821</v>
      </c>
      <c r="M194">
        <f t="shared" si="15"/>
        <v>0.21347396433952781</v>
      </c>
    </row>
    <row r="195" spans="10:13" x14ac:dyDescent="0.2">
      <c r="J195">
        <v>23.875</v>
      </c>
      <c r="K195">
        <f t="shared" si="13"/>
        <v>0.99843729958642335</v>
      </c>
      <c r="L195">
        <f t="shared" si="14"/>
        <v>19.968745991728468</v>
      </c>
      <c r="M195">
        <f t="shared" si="15"/>
        <v>0.21176891115717922</v>
      </c>
    </row>
    <row r="196" spans="10:13" x14ac:dyDescent="0.2">
      <c r="J196">
        <v>24</v>
      </c>
      <c r="K196">
        <f t="shared" si="13"/>
        <v>0.99975039520355524</v>
      </c>
      <c r="L196">
        <f t="shared" si="14"/>
        <v>19.995007904071105</v>
      </c>
      <c r="M196">
        <f t="shared" si="15"/>
        <v>0.21009529874109489</v>
      </c>
    </row>
  </sheetData>
  <hyperlinks>
    <hyperlink ref="A1" r:id="rId1" display="https://abe.ufl.edu/faculty/carpena/files/pdf/publications/refereed_articles/ADesignProcedureForVegetative.pdf" xr:uid="{3532D844-760F-7940-9918-0B89B83E9A3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Munoz-Carpena,Rafael</dc:creator>
  <cp:lastModifiedBy>Munoz-Carpena,Rafael</cp:lastModifiedBy>
  <dcterms:created xsi:type="dcterms:W3CDTF">2025-03-07T17:38:18Z</dcterms:created>
  <dcterms:modified xsi:type="dcterms:W3CDTF">2025-03-07T17:56:07Z</dcterms:modified>
</cp:coreProperties>
</file>